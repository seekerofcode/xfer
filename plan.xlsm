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jj20\Documents\of use\8- SU24\cs232\client-server\"/>
    </mc:Choice>
  </mc:AlternateContent>
  <xr:revisionPtr revIDLastSave="0" documentId="13_ncr:1_{37C84F99-EEEB-4B9A-8696-0C2D37FC2262}" xr6:coauthVersionLast="47" xr6:coauthVersionMax="47" xr10:uidLastSave="{00000000-0000-0000-0000-000000000000}"/>
  <bookViews>
    <workbookView xWindow="-108" yWindow="-108" windowWidth="23256" windowHeight="12456" activeTab="1" xr2:uid="{FFA6365F-0D66-4F69-A6E2-347FB9FE9B80}"/>
  </bookViews>
  <sheets>
    <sheet name="Schedule" sheetId="1" r:id="rId1"/>
    <sheet name="Rep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7" i="1" l="1"/>
  <c r="D46" i="1"/>
  <c r="D45" i="1"/>
  <c r="D48" i="1" s="1"/>
  <c r="G44" i="1"/>
  <c r="D44" i="1"/>
  <c r="G33" i="1"/>
  <c r="D33" i="1"/>
  <c r="J30" i="1"/>
  <c r="J29" i="1"/>
  <c r="J28" i="1"/>
  <c r="J27" i="1"/>
  <c r="M24" i="1"/>
  <c r="M23" i="1"/>
  <c r="G23" i="1"/>
  <c r="D23" i="1"/>
  <c r="M22" i="1"/>
  <c r="M21" i="1"/>
  <c r="P20" i="1"/>
  <c r="P19" i="1"/>
  <c r="P18" i="1"/>
  <c r="P17" i="1"/>
  <c r="G13" i="1"/>
  <c r="D13" i="1"/>
  <c r="G45" i="1" s="1"/>
  <c r="J24" i="5"/>
  <c r="J22" i="5"/>
  <c r="J21" i="5"/>
  <c r="J18" i="5"/>
  <c r="T3" i="1"/>
  <c r="J19" i="5" l="1"/>
  <c r="T5" i="1"/>
  <c r="T6" i="1"/>
  <c r="T2" i="1" l="1"/>
  <c r="T4" i="1" s="1"/>
</calcChain>
</file>

<file path=xl/sharedStrings.xml><?xml version="1.0" encoding="utf-8"?>
<sst xmlns="http://schemas.openxmlformats.org/spreadsheetml/2006/main" count="314" uniqueCount="173">
  <si>
    <t>Year</t>
  </si>
  <si>
    <t>Fall</t>
  </si>
  <si>
    <t>Spring</t>
  </si>
  <si>
    <t>CS</t>
  </si>
  <si>
    <t>CS 108 +L</t>
  </si>
  <si>
    <t>CS 112 +L</t>
  </si>
  <si>
    <t>CS 195</t>
  </si>
  <si>
    <t>MUSC</t>
  </si>
  <si>
    <t>MUSC 260</t>
  </si>
  <si>
    <t>MUSC 118</t>
  </si>
  <si>
    <t>C</t>
  </si>
  <si>
    <t>CORE</t>
  </si>
  <si>
    <t>ENGL 101</t>
  </si>
  <si>
    <t>CORE 100</t>
  </si>
  <si>
    <t>PSYC 151</t>
  </si>
  <si>
    <t>COMM 101</t>
  </si>
  <si>
    <t>Subtotal</t>
  </si>
  <si>
    <t>C (CS)</t>
  </si>
  <si>
    <t>MUSC 108</t>
  </si>
  <si>
    <t>MUSC 112</t>
  </si>
  <si>
    <t>MUSC 225</t>
  </si>
  <si>
    <t>HIST 151</t>
  </si>
  <si>
    <t>PER 106</t>
  </si>
  <si>
    <t>REL 131</t>
  </si>
  <si>
    <t>Schedule</t>
  </si>
  <si>
    <t>CS 212</t>
  </si>
  <si>
    <t>MATH 251</t>
  </si>
  <si>
    <t>CS 214</t>
  </si>
  <si>
    <t>MATH 252</t>
  </si>
  <si>
    <t>MUSC 207</t>
  </si>
  <si>
    <t>MUSC 213</t>
  </si>
  <si>
    <t>MUSC 237</t>
  </si>
  <si>
    <t>MUSC 208</t>
  </si>
  <si>
    <t>MUSC 214</t>
  </si>
  <si>
    <t>ENGR 220 +L</t>
  </si>
  <si>
    <t>Category Totals</t>
  </si>
  <si>
    <t>Computer Science</t>
  </si>
  <si>
    <t>Music</t>
  </si>
  <si>
    <t>Core</t>
  </si>
  <si>
    <t>Grand Total</t>
  </si>
  <si>
    <t>CS 232</t>
  </si>
  <si>
    <t>CS 384</t>
  </si>
  <si>
    <t>CS 396</t>
  </si>
  <si>
    <t>CS 398</t>
  </si>
  <si>
    <t>MUSC 100</t>
  </si>
  <si>
    <t>MUSC 111</t>
  </si>
  <si>
    <t>MUSC 301</t>
  </si>
  <si>
    <t>MUSC 302</t>
  </si>
  <si>
    <t>MUSC 395</t>
  </si>
  <si>
    <t>3 CS 195</t>
  </si>
  <si>
    <t>3 CS 295</t>
  </si>
  <si>
    <r>
      <t>1 (</t>
    </r>
    <r>
      <rPr>
        <b/>
        <sz val="11"/>
        <color theme="1"/>
        <rFont val="Calibri"/>
        <family val="2"/>
        <scheme val="minor"/>
      </rPr>
      <t>MATH 172</t>
    </r>
    <r>
      <rPr>
        <sz val="11"/>
        <color theme="1"/>
        <rFont val="Calibri"/>
        <family val="2"/>
        <scheme val="minor"/>
      </rPr>
      <t>, 255, STAT 245, 341, 344)</t>
    </r>
  </si>
  <si>
    <t>6 MUSC 260</t>
  </si>
  <si>
    <t>MUSC 270</t>
  </si>
  <si>
    <t>MUSC 370</t>
  </si>
  <si>
    <t>Fndtns of Chr I (REL 131)</t>
  </si>
  <si>
    <t>Foundational Writing (ENGL 101)</t>
  </si>
  <si>
    <t>World Languages I</t>
  </si>
  <si>
    <t>World Languages II</t>
  </si>
  <si>
    <t>2 Arts &amp; Rhetoric (MUSC 100, COMM 101)</t>
  </si>
  <si>
    <t>2 Humanities (HIST 151)</t>
  </si>
  <si>
    <t>Mathematical Sci (MATH 171)</t>
  </si>
  <si>
    <t>Enduring Questions</t>
  </si>
  <si>
    <t>total taken</t>
  </si>
  <si>
    <t>TOTAL</t>
  </si>
  <si>
    <t>left to take</t>
  </si>
  <si>
    <t>extra credit-space</t>
  </si>
  <si>
    <t>credit-space left</t>
  </si>
  <si>
    <t>total Total</t>
  </si>
  <si>
    <t>MATH 171</t>
  </si>
  <si>
    <t>2 Health &amp; Movement (PER 106, PER 144)</t>
  </si>
  <si>
    <t>Natural Sciences (GEO 151 +L)</t>
  </si>
  <si>
    <t>PER 144</t>
  </si>
  <si>
    <t>CS 295</t>
  </si>
  <si>
    <t>fresh</t>
  </si>
  <si>
    <t>soft</t>
  </si>
  <si>
    <t>MUSC 107</t>
  </si>
  <si>
    <t>MUSC 117</t>
  </si>
  <si>
    <t>Orchestra</t>
  </si>
  <si>
    <t>CHEM 101</t>
  </si>
  <si>
    <t>CS 326</t>
  </si>
  <si>
    <t>CS 336</t>
  </si>
  <si>
    <t>CS 364</t>
  </si>
  <si>
    <t>STAT 243</t>
  </si>
  <si>
    <t>MUSC 337</t>
  </si>
  <si>
    <t>SOWK 240</t>
  </si>
  <si>
    <r>
      <rPr>
        <strike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1 Social &amp; Behavior (PSYC 151)</t>
    </r>
  </si>
  <si>
    <t>Kapustin</t>
  </si>
  <si>
    <t>Mozart</t>
  </si>
  <si>
    <t>6 (ensemble)</t>
  </si>
  <si>
    <t>GEO 151 +L</t>
  </si>
  <si>
    <r>
      <t xml:space="preserve">1 (STAT </t>
    </r>
    <r>
      <rPr>
        <b/>
        <sz val="11"/>
        <color theme="1"/>
        <rFont val="Calibri"/>
        <family val="2"/>
        <scheme val="minor"/>
      </rPr>
      <t>243</t>
    </r>
    <r>
      <rPr>
        <sz val="11"/>
        <color theme="1"/>
        <rFont val="Calibri"/>
        <family val="2"/>
        <scheme val="minor"/>
      </rPr>
      <t>, 343)</t>
    </r>
  </si>
  <si>
    <t>CS 262 +L</t>
  </si>
  <si>
    <r>
      <rPr>
        <strike/>
        <sz val="11"/>
        <color theme="1"/>
        <rFont val="Calibri"/>
        <family val="2"/>
        <scheme val="minor"/>
      </rPr>
      <t>ENGR 304, 325</t>
    </r>
    <r>
      <rPr>
        <sz val="11"/>
        <color theme="1"/>
        <rFont val="Calibri"/>
        <family val="2"/>
        <scheme val="minor"/>
      </rPr>
      <t>)</t>
    </r>
  </si>
  <si>
    <t>total</t>
  </si>
  <si>
    <r>
      <t xml:space="preserve">[4:] 312, </t>
    </r>
    <r>
      <rPr>
        <u/>
        <sz val="11"/>
        <color theme="1"/>
        <rFont val="Calibri"/>
        <family val="2"/>
        <scheme val="minor"/>
      </rPr>
      <t>326</t>
    </r>
    <r>
      <rPr>
        <sz val="11"/>
        <color theme="1"/>
        <rFont val="Calibri"/>
        <family val="2"/>
        <scheme val="minor"/>
      </rPr>
      <t xml:space="preserve">, </t>
    </r>
    <r>
      <rPr>
        <u/>
        <sz val="11"/>
        <color theme="1"/>
        <rFont val="Calibri"/>
        <family val="2"/>
        <scheme val="minor"/>
      </rPr>
      <t>336</t>
    </r>
    <r>
      <rPr>
        <sz val="11"/>
        <color theme="1"/>
        <rFont val="Calibri"/>
        <family val="2"/>
        <scheme val="minor"/>
      </rPr>
      <t xml:space="preserve">, 344, </t>
    </r>
    <r>
      <rPr>
        <b/>
        <sz val="11"/>
        <color theme="1"/>
        <rFont val="Calibri"/>
        <family val="2"/>
        <scheme val="minor"/>
      </rPr>
      <t>364</t>
    </r>
    <r>
      <rPr>
        <sz val="11"/>
        <color theme="1"/>
        <rFont val="Calibri"/>
        <family val="2"/>
        <scheme val="minor"/>
      </rPr>
      <t>,</t>
    </r>
  </si>
  <si>
    <t>10hrs ( [2:] CS 300, 320, 332, 338, 342,</t>
  </si>
  <si>
    <t>Fndtns of Chr II (REL 237)</t>
  </si>
  <si>
    <t>CS 376</t>
  </si>
  <si>
    <t>CS 372</t>
  </si>
  <si>
    <t>CS 375</t>
  </si>
  <si>
    <r>
      <t xml:space="preserve">354, 372, 374, </t>
    </r>
    <r>
      <rPr>
        <b/>
        <sz val="11"/>
        <color theme="1"/>
        <rFont val="Calibri"/>
        <family val="2"/>
        <scheme val="minor"/>
      </rPr>
      <t>375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376</t>
    </r>
  </si>
  <si>
    <t>3 Engaged Citizenship (SOWK 240, GEO 151, MUSC 107)</t>
  </si>
  <si>
    <t>senile</t>
  </si>
  <si>
    <t>junio</t>
  </si>
  <si>
    <t>CLAS 231</t>
  </si>
  <si>
    <t>CS 300-B</t>
  </si>
  <si>
    <t>Wagner-Liszt</t>
  </si>
  <si>
    <t>Smetena</t>
  </si>
  <si>
    <t>Grainger</t>
  </si>
  <si>
    <t>Muramatsu</t>
  </si>
  <si>
    <t>Kreisler-Rach</t>
  </si>
  <si>
    <t>Stravinsky</t>
  </si>
  <si>
    <t>fast</t>
  </si>
  <si>
    <t>slow</t>
  </si>
  <si>
    <t>medium</t>
  </si>
  <si>
    <t>Lecuona</t>
  </si>
  <si>
    <t>Australian/Irish</t>
  </si>
  <si>
    <t>French</t>
  </si>
  <si>
    <t>Austrian/Russian</t>
  </si>
  <si>
    <t>anime</t>
  </si>
  <si>
    <t>Japanese</t>
  </si>
  <si>
    <t>jazz</t>
  </si>
  <si>
    <t>Austrian</t>
  </si>
  <si>
    <t>Czech</t>
  </si>
  <si>
    <t>Russian</t>
  </si>
  <si>
    <t>German/Hungarian</t>
  </si>
  <si>
    <t>composer</t>
  </si>
  <si>
    <t>len</t>
  </si>
  <si>
    <t>year</t>
  </si>
  <si>
    <t>speed</t>
  </si>
  <si>
    <t>difficulty</t>
  </si>
  <si>
    <t>style</t>
  </si>
  <si>
    <t>order</t>
  </si>
  <si>
    <t>nationality</t>
  </si>
  <si>
    <t>Cuban/Spanish</t>
  </si>
  <si>
    <t>concerto etude</t>
  </si>
  <si>
    <t>fantasy, fugue</t>
  </si>
  <si>
    <t>sonata</t>
  </si>
  <si>
    <t>concerto competition</t>
  </si>
  <si>
    <t>WE</t>
  </si>
  <si>
    <t>Jazz band</t>
  </si>
  <si>
    <t>Dr. Wakeman</t>
  </si>
  <si>
    <t>Chamber</t>
  </si>
  <si>
    <t>World music</t>
  </si>
  <si>
    <t>(it's a secret)</t>
  </si>
  <si>
    <t>gooey love song</t>
  </si>
  <si>
    <t>Russian/American</t>
  </si>
  <si>
    <t>Chen</t>
  </si>
  <si>
    <t>tribute to</t>
  </si>
  <si>
    <t>Chinese</t>
  </si>
  <si>
    <t>folk, atonal</t>
  </si>
  <si>
    <t>Dr. Amy</t>
  </si>
  <si>
    <t>TwoSet</t>
  </si>
  <si>
    <t>Estimated program</t>
  </si>
  <si>
    <t>Draft #:</t>
  </si>
  <si>
    <t>len total</t>
  </si>
  <si>
    <t>collab pieces</t>
  </si>
  <si>
    <t>without collab</t>
  </si>
  <si>
    <t>before intermission</t>
  </si>
  <si>
    <t>after</t>
  </si>
  <si>
    <r>
      <t>Saint-Sa</t>
    </r>
    <r>
      <rPr>
        <sz val="11"/>
        <rFont val="Aptos Narrow"/>
        <family val="2"/>
      </rPr>
      <t>ë</t>
    </r>
    <r>
      <rPr>
        <sz val="9.9"/>
        <rFont val="Calibri"/>
        <family val="2"/>
      </rPr>
      <t>ns</t>
    </r>
  </si>
  <si>
    <t>Saint-Saens Tarantella</t>
  </si>
  <si>
    <t>Dr. Engle</t>
  </si>
  <si>
    <t>dance (reel)</t>
  </si>
  <si>
    <t>dance (malaguena)</t>
  </si>
  <si>
    <t>dance (tarantella)</t>
  </si>
  <si>
    <t>orchestra (ballet)</t>
  </si>
  <si>
    <t>orchestra (opera)</t>
  </si>
  <si>
    <t>MUSC 301 / Dr. Steele</t>
  </si>
  <si>
    <r>
      <t xml:space="preserve">6hrs (AST 201/11, BIO 160-1, 231-2, </t>
    </r>
    <r>
      <rPr>
        <b/>
        <sz val="11"/>
        <color theme="1"/>
        <rFont val="Calibri"/>
        <family val="2"/>
        <scheme val="minor"/>
      </rPr>
      <t>CHEM</t>
    </r>
  </si>
  <si>
    <r>
      <rPr>
        <b/>
        <sz val="11"/>
        <color theme="1"/>
        <rFont val="Calibri"/>
        <family val="2"/>
        <scheme val="minor"/>
      </rPr>
      <t>101</t>
    </r>
    <r>
      <rPr>
        <sz val="11"/>
        <color theme="1"/>
        <rFont val="Calibri"/>
        <family val="2"/>
        <scheme val="minor"/>
      </rPr>
      <t xml:space="preserve">-3, </t>
    </r>
    <r>
      <rPr>
        <b/>
        <sz val="11"/>
        <color theme="1"/>
        <rFont val="Calibri"/>
        <family val="2"/>
        <scheme val="minor"/>
      </rPr>
      <t>GEO 151</t>
    </r>
    <r>
      <rPr>
        <sz val="11"/>
        <color theme="1"/>
        <rFont val="Calibri"/>
        <family val="2"/>
        <scheme val="minor"/>
      </rPr>
      <t>-3, PHYS 130-1/3, 235</t>
    </r>
  </si>
  <si>
    <t>MUSC 117?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</si>
</sst>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Aptos Narrow"/>
      <family val="2"/>
    </font>
    <font>
      <sz val="9.9"/>
      <name val="Calibri"/>
      <family val="2"/>
    </font>
    <font>
      <sz val="11"/>
      <color theme="0" tint="-0.249977111117893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91FE"/>
        <bgColor indexed="64"/>
      </patternFill>
    </fill>
    <fill>
      <patternFill patternType="solid">
        <fgColor rgb="FF8FFFFF"/>
        <bgColor indexed="64"/>
      </patternFill>
    </fill>
    <fill>
      <patternFill patternType="solid">
        <fgColor rgb="FF00FFCC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32">
    <xf numFmtId="0" fontId="0" fillId="0" borderId="0" xfId="0"/>
    <xf numFmtId="0" fontId="0" fillId="0" borderId="1" xfId="0" applyBorder="1"/>
    <xf numFmtId="0" fontId="0" fillId="0" borderId="8" xfId="0" applyBorder="1"/>
    <xf numFmtId="0" fontId="0" fillId="0" borderId="11" xfId="0" applyBorder="1"/>
    <xf numFmtId="0" fontId="0" fillId="0" borderId="14" xfId="0" applyBorder="1"/>
    <xf numFmtId="0" fontId="1" fillId="0" borderId="2" xfId="0" applyFont="1" applyBorder="1" applyAlignment="1">
      <alignment horizontal="center"/>
    </xf>
    <xf numFmtId="0" fontId="0" fillId="0" borderId="19" xfId="0" applyBorder="1"/>
    <xf numFmtId="0" fontId="0" fillId="2" borderId="20" xfId="0" applyFill="1" applyBorder="1"/>
    <xf numFmtId="0" fontId="0" fillId="2" borderId="13" xfId="0" applyFill="1" applyBorder="1"/>
    <xf numFmtId="0" fontId="0" fillId="2" borderId="19" xfId="0" applyFill="1" applyBorder="1"/>
    <xf numFmtId="0" fontId="0" fillId="2" borderId="1" xfId="0" applyFill="1" applyBorder="1"/>
    <xf numFmtId="0" fontId="0" fillId="3" borderId="19" xfId="0" applyFill="1" applyBorder="1"/>
    <xf numFmtId="0" fontId="0" fillId="3" borderId="1" xfId="0" applyFill="1" applyBorder="1"/>
    <xf numFmtId="0" fontId="0" fillId="4" borderId="19" xfId="0" applyFill="1" applyBorder="1"/>
    <xf numFmtId="0" fontId="0" fillId="4" borderId="1" xfId="0" applyFill="1" applyBorder="1"/>
    <xf numFmtId="0" fontId="0" fillId="2" borderId="12" xfId="0" applyFill="1" applyBorder="1"/>
    <xf numFmtId="0" fontId="0" fillId="2" borderId="7" xfId="0" applyFill="1" applyBorder="1"/>
    <xf numFmtId="0" fontId="0" fillId="3" borderId="7" xfId="0" applyFill="1" applyBorder="1"/>
    <xf numFmtId="0" fontId="0" fillId="4" borderId="7" xfId="0" applyFill="1" applyBorder="1"/>
    <xf numFmtId="0" fontId="0" fillId="0" borderId="7" xfId="0" applyBorder="1"/>
    <xf numFmtId="0" fontId="0" fillId="0" borderId="27" xfId="0" applyBorder="1"/>
    <xf numFmtId="0" fontId="0" fillId="0" borderId="6" xfId="0" applyBorder="1"/>
    <xf numFmtId="0" fontId="0" fillId="2" borderId="4" xfId="0" applyFill="1" applyBorder="1"/>
    <xf numFmtId="0" fontId="0" fillId="2" borderId="5" xfId="0" applyFill="1" applyBorder="1"/>
    <xf numFmtId="0" fontId="0" fillId="2" borderId="29" xfId="0" applyFill="1" applyBorder="1"/>
    <xf numFmtId="0" fontId="0" fillId="0" borderId="5" xfId="0" applyBorder="1"/>
    <xf numFmtId="0" fontId="0" fillId="0" borderId="29" xfId="0" applyBorder="1"/>
    <xf numFmtId="0" fontId="0" fillId="2" borderId="5" xfId="0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0" fillId="4" borderId="21" xfId="0" applyFill="1" applyBorder="1"/>
    <xf numFmtId="0" fontId="0" fillId="4" borderId="10" xfId="0" applyFill="1" applyBorder="1" applyAlignment="1">
      <alignment horizontal="right"/>
    </xf>
    <xf numFmtId="0" fontId="0" fillId="5" borderId="7" xfId="0" applyFill="1" applyBorder="1"/>
    <xf numFmtId="0" fontId="0" fillId="6" borderId="7" xfId="0" applyFill="1" applyBorder="1"/>
    <xf numFmtId="0" fontId="0" fillId="0" borderId="9" xfId="0" applyBorder="1"/>
    <xf numFmtId="0" fontId="0" fillId="5" borderId="12" xfId="0" applyFill="1" applyBorder="1"/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0" fillId="5" borderId="26" xfId="0" applyFill="1" applyBorder="1"/>
    <xf numFmtId="0" fontId="0" fillId="5" borderId="4" xfId="0" applyFill="1" applyBorder="1"/>
    <xf numFmtId="0" fontId="0" fillId="7" borderId="0" xfId="0" applyFill="1"/>
    <xf numFmtId="0" fontId="0" fillId="2" borderId="0" xfId="0" applyFill="1"/>
    <xf numFmtId="0" fontId="0" fillId="0" borderId="33" xfId="0" applyBorder="1"/>
    <xf numFmtId="0" fontId="0" fillId="6" borderId="0" xfId="0" applyFill="1"/>
    <xf numFmtId="0" fontId="0" fillId="2" borderId="35" xfId="0" applyFill="1" applyBorder="1"/>
    <xf numFmtId="0" fontId="0" fillId="2" borderId="34" xfId="0" applyFill="1" applyBorder="1"/>
    <xf numFmtId="0" fontId="0" fillId="10" borderId="7" xfId="0" applyFill="1" applyBorder="1"/>
    <xf numFmtId="0" fontId="0" fillId="6" borderId="9" xfId="0" applyFill="1" applyBorder="1"/>
    <xf numFmtId="0" fontId="0" fillId="0" borderId="42" xfId="0" applyBorder="1"/>
    <xf numFmtId="0" fontId="0" fillId="3" borderId="35" xfId="0" applyFill="1" applyBorder="1"/>
    <xf numFmtId="0" fontId="0" fillId="3" borderId="34" xfId="0" applyFill="1" applyBorder="1"/>
    <xf numFmtId="0" fontId="0" fillId="5" borderId="7" xfId="0" applyFill="1" applyBorder="1" applyAlignment="1">
      <alignment horizontal="right"/>
    </xf>
    <xf numFmtId="0" fontId="0" fillId="0" borderId="32" xfId="0" applyBorder="1"/>
    <xf numFmtId="0" fontId="6" fillId="0" borderId="0" xfId="0" applyFont="1"/>
    <xf numFmtId="0" fontId="9" fillId="0" borderId="0" xfId="0" applyFont="1"/>
    <xf numFmtId="0" fontId="7" fillId="0" borderId="0" xfId="0" applyFont="1"/>
    <xf numFmtId="0" fontId="8" fillId="0" borderId="0" xfId="0" applyFont="1"/>
    <xf numFmtId="0" fontId="10" fillId="18" borderId="32" xfId="0" applyFont="1" applyFill="1" applyBorder="1"/>
    <xf numFmtId="0" fontId="4" fillId="0" borderId="32" xfId="0" applyFont="1" applyBorder="1"/>
    <xf numFmtId="0" fontId="0" fillId="16" borderId="32" xfId="0" applyFill="1" applyBorder="1"/>
    <xf numFmtId="0" fontId="0" fillId="12" borderId="32" xfId="0" applyFill="1" applyBorder="1"/>
    <xf numFmtId="0" fontId="0" fillId="0" borderId="36" xfId="0" applyBorder="1"/>
    <xf numFmtId="0" fontId="0" fillId="0" borderId="28" xfId="0" applyBorder="1"/>
    <xf numFmtId="0" fontId="0" fillId="17" borderId="0" xfId="0" applyFill="1"/>
    <xf numFmtId="0" fontId="0" fillId="14" borderId="0" xfId="0" applyFill="1"/>
    <xf numFmtId="0" fontId="0" fillId="0" borderId="38" xfId="0" applyBorder="1"/>
    <xf numFmtId="0" fontId="0" fillId="19" borderId="0" xfId="0" applyFill="1"/>
    <xf numFmtId="0" fontId="0" fillId="17" borderId="32" xfId="0" applyFill="1" applyBorder="1"/>
    <xf numFmtId="0" fontId="0" fillId="11" borderId="32" xfId="0" applyFill="1" applyBorder="1"/>
    <xf numFmtId="0" fontId="0" fillId="0" borderId="20" xfId="0" applyBorder="1"/>
    <xf numFmtId="0" fontId="0" fillId="0" borderId="33" xfId="0" applyBorder="1" applyAlignment="1">
      <alignment horizontal="center"/>
    </xf>
    <xf numFmtId="0" fontId="0" fillId="21" borderId="37" xfId="0" applyFill="1" applyBorder="1"/>
    <xf numFmtId="0" fontId="0" fillId="21" borderId="38" xfId="0" applyFill="1" applyBorder="1"/>
    <xf numFmtId="0" fontId="0" fillId="22" borderId="37" xfId="0" applyFill="1" applyBorder="1"/>
    <xf numFmtId="0" fontId="0" fillId="22" borderId="38" xfId="0" applyFill="1" applyBorder="1"/>
    <xf numFmtId="0" fontId="0" fillId="16" borderId="0" xfId="0" applyFill="1"/>
    <xf numFmtId="0" fontId="7" fillId="19" borderId="0" xfId="0" applyFont="1" applyFill="1"/>
    <xf numFmtId="0" fontId="0" fillId="9" borderId="0" xfId="0" applyFill="1"/>
    <xf numFmtId="0" fontId="0" fillId="15" borderId="0" xfId="0" applyFill="1"/>
    <xf numFmtId="0" fontId="0" fillId="13" borderId="0" xfId="0" applyFill="1"/>
    <xf numFmtId="0" fontId="13" fillId="0" borderId="28" xfId="0" applyFont="1" applyBorder="1"/>
    <xf numFmtId="0" fontId="13" fillId="0" borderId="35" xfId="0" applyFont="1" applyBorder="1"/>
    <xf numFmtId="0" fontId="13" fillId="0" borderId="20" xfId="0" applyFont="1" applyBorder="1"/>
    <xf numFmtId="0" fontId="0" fillId="7" borderId="7" xfId="0" applyFill="1" applyBorder="1"/>
    <xf numFmtId="0" fontId="0" fillId="6" borderId="7" xfId="0" applyFill="1" applyBorder="1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1" fillId="0" borderId="22" xfId="0" applyFont="1" applyBorder="1" applyAlignment="1">
      <alignment horizontal="right" vertical="center"/>
    </xf>
    <xf numFmtId="0" fontId="1" fillId="0" borderId="23" xfId="0" applyFont="1" applyBorder="1" applyAlignment="1">
      <alignment horizontal="right" vertical="center"/>
    </xf>
    <xf numFmtId="0" fontId="1" fillId="0" borderId="25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1" fillId="0" borderId="30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6" xfId="0" applyFont="1" applyBorder="1" applyAlignment="1">
      <alignment horizontal="right"/>
    </xf>
    <xf numFmtId="0" fontId="1" fillId="0" borderId="3" xfId="0" applyFont="1" applyBorder="1" applyAlignment="1">
      <alignment horizontal="right"/>
    </xf>
    <xf numFmtId="0" fontId="1" fillId="0" borderId="28" xfId="0" applyFont="1" applyBorder="1" applyAlignment="1">
      <alignment horizontal="right"/>
    </xf>
    <xf numFmtId="0" fontId="1" fillId="0" borderId="40" xfId="0" applyFont="1" applyBorder="1" applyAlignment="1">
      <alignment horizontal="right" vertical="center"/>
    </xf>
    <xf numFmtId="0" fontId="1" fillId="0" borderId="39" xfId="0" applyFont="1" applyBorder="1" applyAlignment="1">
      <alignment horizontal="right" vertical="center"/>
    </xf>
    <xf numFmtId="0" fontId="1" fillId="0" borderId="41" xfId="0" applyFont="1" applyBorder="1" applyAlignment="1">
      <alignment horizontal="right" vertical="center"/>
    </xf>
    <xf numFmtId="0" fontId="1" fillId="0" borderId="24" xfId="0" applyFont="1" applyBorder="1" applyAlignment="1">
      <alignment horizontal="right" vertical="center"/>
    </xf>
    <xf numFmtId="0" fontId="1" fillId="0" borderId="29" xfId="0" applyFont="1" applyBorder="1" applyAlignment="1">
      <alignment horizontal="right" vertical="center"/>
    </xf>
    <xf numFmtId="0" fontId="1" fillId="0" borderId="6" xfId="0" applyFont="1" applyBorder="1" applyAlignment="1">
      <alignment horizontal="right" vertical="center"/>
    </xf>
    <xf numFmtId="0" fontId="1" fillId="0" borderId="19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1" fillId="0" borderId="21" xfId="0" applyFont="1" applyBorder="1" applyAlignment="1">
      <alignment horizontal="right" vertical="center"/>
    </xf>
    <xf numFmtId="0" fontId="1" fillId="0" borderId="11" xfId="0" applyFont="1" applyBorder="1" applyAlignment="1">
      <alignment horizontal="right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" fillId="0" borderId="9" xfId="0" applyFont="1" applyBorder="1" applyAlignment="1">
      <alignment horizontal="right"/>
    </xf>
    <xf numFmtId="0" fontId="1" fillId="0" borderId="10" xfId="0" applyFont="1" applyBorder="1" applyAlignment="1">
      <alignment horizontal="right"/>
    </xf>
    <xf numFmtId="0" fontId="1" fillId="0" borderId="21" xfId="0" applyFont="1" applyBorder="1" applyAlignment="1">
      <alignment horizontal="right"/>
    </xf>
    <xf numFmtId="0" fontId="0" fillId="0" borderId="0" xfId="0" applyBorder="1"/>
    <xf numFmtId="0" fontId="4" fillId="0" borderId="0" xfId="0" applyFont="1" applyBorder="1"/>
    <xf numFmtId="0" fontId="0" fillId="17" borderId="0" xfId="0" applyFill="1" applyBorder="1"/>
    <xf numFmtId="0" fontId="0" fillId="16" borderId="0" xfId="0" applyFill="1" applyBorder="1"/>
    <xf numFmtId="0" fontId="7" fillId="0" borderId="0" xfId="0" applyFont="1" applyBorder="1"/>
    <xf numFmtId="0" fontId="9" fillId="0" borderId="0" xfId="0" applyFont="1" applyBorder="1"/>
    <xf numFmtId="0" fontId="7" fillId="19" borderId="0" xfId="0" applyFont="1" applyFill="1" applyBorder="1"/>
    <xf numFmtId="0" fontId="0" fillId="9" borderId="0" xfId="0" applyFill="1" applyBorder="1"/>
    <xf numFmtId="0" fontId="0" fillId="8" borderId="0" xfId="0" applyFill="1" applyBorder="1"/>
    <xf numFmtId="0" fontId="0" fillId="7" borderId="0" xfId="0" applyFill="1" applyBorder="1"/>
    <xf numFmtId="0" fontId="0" fillId="20" borderId="0" xfId="0" applyFill="1" applyBorder="1"/>
    <xf numFmtId="0" fontId="6" fillId="0" borderId="0" xfId="0" applyFont="1" applyBorder="1"/>
    <xf numFmtId="0" fontId="0" fillId="19" borderId="0" xfId="0" applyFill="1" applyBorder="1"/>
    <xf numFmtId="0" fontId="0" fillId="14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CC"/>
      <color rgb="FF8FFFFF"/>
      <color rgb="FF0091FE"/>
      <color rgb="FF0094C8"/>
      <color rgb="FFFF2525"/>
      <color rgb="FFEA0000"/>
      <color rgb="FF99CCFF"/>
      <color rgb="FFCCFFCC"/>
      <color rgb="FF99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550333</xdr:colOff>
      <xdr:row>1</xdr:row>
      <xdr:rowOff>8464</xdr:rowOff>
    </xdr:from>
    <xdr:to>
      <xdr:col>12</xdr:col>
      <xdr:colOff>0</xdr:colOff>
      <xdr:row>2</xdr:row>
      <xdr:rowOff>0</xdr:rowOff>
    </xdr:to>
    <xdr:sp macro="[0]!inc" textlink="">
      <xdr:nvSpPr>
        <xdr:cNvPr id="2" name="Rectangle 1">
          <a:extLst>
            <a:ext uri="{FF2B5EF4-FFF2-40B4-BE49-F238E27FC236}">
              <a16:creationId xmlns:a16="http://schemas.microsoft.com/office/drawing/2014/main" id="{CCF791C8-F358-D7AB-5551-8A560ED5ED4A}"/>
            </a:ext>
          </a:extLst>
        </xdr:cNvPr>
        <xdr:cNvSpPr/>
      </xdr:nvSpPr>
      <xdr:spPr>
        <a:xfrm>
          <a:off x="10430933" y="4665131"/>
          <a:ext cx="186267" cy="177802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8467</xdr:colOff>
      <xdr:row>1</xdr:row>
      <xdr:rowOff>8466</xdr:rowOff>
    </xdr:from>
    <xdr:to>
      <xdr:col>11</xdr:col>
      <xdr:colOff>182203</xdr:colOff>
      <xdr:row>1</xdr:row>
      <xdr:rowOff>182202</xdr:rowOff>
    </xdr:to>
    <xdr:sp macro="[0]!dec" textlink="">
      <xdr:nvSpPr>
        <xdr:cNvPr id="4" name="Rectangle 2">
          <a:extLst>
            <a:ext uri="{FF2B5EF4-FFF2-40B4-BE49-F238E27FC236}">
              <a16:creationId xmlns:a16="http://schemas.microsoft.com/office/drawing/2014/main" id="{F75A295C-4532-4FBE-9E8E-39ECCE0E51EB}"/>
            </a:ext>
          </a:extLst>
        </xdr:cNvPr>
        <xdr:cNvSpPr/>
      </xdr:nvSpPr>
      <xdr:spPr>
        <a:xfrm>
          <a:off x="9618134" y="4665133"/>
          <a:ext cx="173736" cy="173736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372533</xdr:colOff>
      <xdr:row>3</xdr:row>
      <xdr:rowOff>8467</xdr:rowOff>
    </xdr:from>
    <xdr:to>
      <xdr:col>7</xdr:col>
      <xdr:colOff>546269</xdr:colOff>
      <xdr:row>3</xdr:row>
      <xdr:rowOff>182203</xdr:rowOff>
    </xdr:to>
    <xdr:sp macro="[0]!order_sort_asc" textlink="">
      <xdr:nvSpPr>
        <xdr:cNvPr id="8" name="order_sort">
          <a:extLst>
            <a:ext uri="{FF2B5EF4-FFF2-40B4-BE49-F238E27FC236}">
              <a16:creationId xmlns:a16="http://schemas.microsoft.com/office/drawing/2014/main" id="{64D8EDC6-385E-4817-A954-200523E94983}"/>
            </a:ext>
          </a:extLst>
        </xdr:cNvPr>
        <xdr:cNvSpPr/>
      </xdr:nvSpPr>
      <xdr:spPr>
        <a:xfrm>
          <a:off x="6553200" y="5037667"/>
          <a:ext cx="173736" cy="173736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</a:rPr>
            <a:t>^</a:t>
          </a:r>
        </a:p>
      </xdr:txBody>
    </xdr:sp>
    <xdr:clientData/>
  </xdr:twoCellAnchor>
  <xdr:twoCellAnchor>
    <xdr:from>
      <xdr:col>7</xdr:col>
      <xdr:colOff>550334</xdr:colOff>
      <xdr:row>3</xdr:row>
      <xdr:rowOff>8465</xdr:rowOff>
    </xdr:from>
    <xdr:to>
      <xdr:col>8</xdr:col>
      <xdr:colOff>1</xdr:colOff>
      <xdr:row>4</xdr:row>
      <xdr:rowOff>0</xdr:rowOff>
    </xdr:to>
    <xdr:sp macro="[0]!order_sort_desc" textlink="">
      <xdr:nvSpPr>
        <xdr:cNvPr id="10" name="order_sort">
          <a:extLst>
            <a:ext uri="{FF2B5EF4-FFF2-40B4-BE49-F238E27FC236}">
              <a16:creationId xmlns:a16="http://schemas.microsoft.com/office/drawing/2014/main" id="{69B6E8F4-D14C-46F6-8434-2D0BDF264B91}"/>
            </a:ext>
          </a:extLst>
        </xdr:cNvPr>
        <xdr:cNvSpPr/>
      </xdr:nvSpPr>
      <xdr:spPr>
        <a:xfrm>
          <a:off x="6731001" y="5037665"/>
          <a:ext cx="177800" cy="177802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</a:rPr>
            <a:t>v</a:t>
          </a:r>
        </a:p>
      </xdr:txBody>
    </xdr:sp>
    <xdr:clientData/>
  </xdr:twoCellAnchor>
  <xdr:twoCellAnchor>
    <xdr:from>
      <xdr:col>8</xdr:col>
      <xdr:colOff>1159934</xdr:colOff>
      <xdr:row>3</xdr:row>
      <xdr:rowOff>8467</xdr:rowOff>
    </xdr:from>
    <xdr:to>
      <xdr:col>8</xdr:col>
      <xdr:colOff>1333670</xdr:colOff>
      <xdr:row>3</xdr:row>
      <xdr:rowOff>182203</xdr:rowOff>
    </xdr:to>
    <xdr:sp macro="[0]!composer_sort_asc" textlink="">
      <xdr:nvSpPr>
        <xdr:cNvPr id="11" name="composer_sort">
          <a:extLst>
            <a:ext uri="{FF2B5EF4-FFF2-40B4-BE49-F238E27FC236}">
              <a16:creationId xmlns:a16="http://schemas.microsoft.com/office/drawing/2014/main" id="{65C18816-1612-4DD5-8A3F-E58B2C29C0AC}"/>
            </a:ext>
          </a:extLst>
        </xdr:cNvPr>
        <xdr:cNvSpPr/>
      </xdr:nvSpPr>
      <xdr:spPr>
        <a:xfrm>
          <a:off x="8068734" y="5037667"/>
          <a:ext cx="173736" cy="173736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</a:rPr>
            <a:t>^</a:t>
          </a:r>
        </a:p>
      </xdr:txBody>
    </xdr:sp>
    <xdr:clientData/>
  </xdr:twoCellAnchor>
  <xdr:twoCellAnchor>
    <xdr:from>
      <xdr:col>8</xdr:col>
      <xdr:colOff>1346201</xdr:colOff>
      <xdr:row>3</xdr:row>
      <xdr:rowOff>8465</xdr:rowOff>
    </xdr:from>
    <xdr:to>
      <xdr:col>9</xdr:col>
      <xdr:colOff>1</xdr:colOff>
      <xdr:row>4</xdr:row>
      <xdr:rowOff>0</xdr:rowOff>
    </xdr:to>
    <xdr:sp macro="[0]!composer_sort_desc" textlink="">
      <xdr:nvSpPr>
        <xdr:cNvPr id="12" name="order_sort">
          <a:extLst>
            <a:ext uri="{FF2B5EF4-FFF2-40B4-BE49-F238E27FC236}">
              <a16:creationId xmlns:a16="http://schemas.microsoft.com/office/drawing/2014/main" id="{6A4162F6-7085-43E0-A7E8-4055577437D2}"/>
            </a:ext>
          </a:extLst>
        </xdr:cNvPr>
        <xdr:cNvSpPr/>
      </xdr:nvSpPr>
      <xdr:spPr>
        <a:xfrm>
          <a:off x="8255001" y="5037665"/>
          <a:ext cx="177800" cy="177802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</a:rPr>
            <a:t>v</a:t>
          </a:r>
        </a:p>
      </xdr:txBody>
    </xdr:sp>
    <xdr:clientData/>
  </xdr:twoCellAnchor>
  <xdr:twoCellAnchor>
    <xdr:from>
      <xdr:col>9</xdr:col>
      <xdr:colOff>237066</xdr:colOff>
      <xdr:row>3</xdr:row>
      <xdr:rowOff>8467</xdr:rowOff>
    </xdr:from>
    <xdr:to>
      <xdr:col>9</xdr:col>
      <xdr:colOff>410802</xdr:colOff>
      <xdr:row>3</xdr:row>
      <xdr:rowOff>182203</xdr:rowOff>
    </xdr:to>
    <xdr:sp macro="[0]!len_sort_asc" textlink="">
      <xdr:nvSpPr>
        <xdr:cNvPr id="13" name="order_sort">
          <a:extLst>
            <a:ext uri="{FF2B5EF4-FFF2-40B4-BE49-F238E27FC236}">
              <a16:creationId xmlns:a16="http://schemas.microsoft.com/office/drawing/2014/main" id="{52FBAE51-2199-41B8-9A47-4A7584A353D3}"/>
            </a:ext>
          </a:extLst>
        </xdr:cNvPr>
        <xdr:cNvSpPr/>
      </xdr:nvSpPr>
      <xdr:spPr>
        <a:xfrm>
          <a:off x="8669866" y="5037667"/>
          <a:ext cx="173736" cy="173736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</a:rPr>
            <a:t>^</a:t>
          </a:r>
        </a:p>
      </xdr:txBody>
    </xdr:sp>
    <xdr:clientData/>
  </xdr:twoCellAnchor>
  <xdr:twoCellAnchor>
    <xdr:from>
      <xdr:col>9</xdr:col>
      <xdr:colOff>414867</xdr:colOff>
      <xdr:row>3</xdr:row>
      <xdr:rowOff>8465</xdr:rowOff>
    </xdr:from>
    <xdr:to>
      <xdr:col>9</xdr:col>
      <xdr:colOff>601132</xdr:colOff>
      <xdr:row>4</xdr:row>
      <xdr:rowOff>0</xdr:rowOff>
    </xdr:to>
    <xdr:sp macro="[0]!len_sort_desc" textlink="">
      <xdr:nvSpPr>
        <xdr:cNvPr id="14" name="order_sort">
          <a:extLst>
            <a:ext uri="{FF2B5EF4-FFF2-40B4-BE49-F238E27FC236}">
              <a16:creationId xmlns:a16="http://schemas.microsoft.com/office/drawing/2014/main" id="{79A81D51-4060-4AA7-820B-99C8F59389BD}"/>
            </a:ext>
          </a:extLst>
        </xdr:cNvPr>
        <xdr:cNvSpPr/>
      </xdr:nvSpPr>
      <xdr:spPr>
        <a:xfrm>
          <a:off x="8847667" y="5037665"/>
          <a:ext cx="186265" cy="177802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</a:rPr>
            <a:t>v</a:t>
          </a:r>
        </a:p>
      </xdr:txBody>
    </xdr:sp>
    <xdr:clientData/>
  </xdr:twoCellAnchor>
  <xdr:twoCellAnchor>
    <xdr:from>
      <xdr:col>10</xdr:col>
      <xdr:colOff>465666</xdr:colOff>
      <xdr:row>3</xdr:row>
      <xdr:rowOff>8467</xdr:rowOff>
    </xdr:from>
    <xdr:to>
      <xdr:col>10</xdr:col>
      <xdr:colOff>639402</xdr:colOff>
      <xdr:row>3</xdr:row>
      <xdr:rowOff>182203</xdr:rowOff>
    </xdr:to>
    <xdr:sp macro="[0]!yr_sort_asc" textlink="">
      <xdr:nvSpPr>
        <xdr:cNvPr id="15" name="order_sort">
          <a:extLst>
            <a:ext uri="{FF2B5EF4-FFF2-40B4-BE49-F238E27FC236}">
              <a16:creationId xmlns:a16="http://schemas.microsoft.com/office/drawing/2014/main" id="{4458DF05-4037-47CC-855E-6BBD4B38DA30}"/>
            </a:ext>
          </a:extLst>
        </xdr:cNvPr>
        <xdr:cNvSpPr/>
      </xdr:nvSpPr>
      <xdr:spPr>
        <a:xfrm>
          <a:off x="9508066" y="5037667"/>
          <a:ext cx="173736" cy="173736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</a:rPr>
            <a:t>^</a:t>
          </a:r>
        </a:p>
      </xdr:txBody>
    </xdr:sp>
    <xdr:clientData/>
  </xdr:twoCellAnchor>
  <xdr:twoCellAnchor>
    <xdr:from>
      <xdr:col>10</xdr:col>
      <xdr:colOff>643467</xdr:colOff>
      <xdr:row>3</xdr:row>
      <xdr:rowOff>8465</xdr:rowOff>
    </xdr:from>
    <xdr:to>
      <xdr:col>10</xdr:col>
      <xdr:colOff>829732</xdr:colOff>
      <xdr:row>4</xdr:row>
      <xdr:rowOff>0</xdr:rowOff>
    </xdr:to>
    <xdr:sp macro="[0]!yr_sort_desc" textlink="">
      <xdr:nvSpPr>
        <xdr:cNvPr id="16" name="order_sort">
          <a:extLst>
            <a:ext uri="{FF2B5EF4-FFF2-40B4-BE49-F238E27FC236}">
              <a16:creationId xmlns:a16="http://schemas.microsoft.com/office/drawing/2014/main" id="{81F01CC2-04C2-44F3-9301-3A44456C5D8B}"/>
            </a:ext>
          </a:extLst>
        </xdr:cNvPr>
        <xdr:cNvSpPr/>
      </xdr:nvSpPr>
      <xdr:spPr>
        <a:xfrm>
          <a:off x="9685867" y="5037665"/>
          <a:ext cx="186265" cy="177802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</a:rPr>
            <a:t>v</a:t>
          </a:r>
        </a:p>
      </xdr:txBody>
    </xdr:sp>
    <xdr:clientData/>
  </xdr:twoCellAnchor>
  <xdr:twoCellAnchor>
    <xdr:from>
      <xdr:col>11</xdr:col>
      <xdr:colOff>389466</xdr:colOff>
      <xdr:row>3</xdr:row>
      <xdr:rowOff>8467</xdr:rowOff>
    </xdr:from>
    <xdr:to>
      <xdr:col>11</xdr:col>
      <xdr:colOff>563202</xdr:colOff>
      <xdr:row>3</xdr:row>
      <xdr:rowOff>182203</xdr:rowOff>
    </xdr:to>
    <xdr:sp macro="[0]!speed_sort_asc" textlink="">
      <xdr:nvSpPr>
        <xdr:cNvPr id="17" name="order_sort">
          <a:extLst>
            <a:ext uri="{FF2B5EF4-FFF2-40B4-BE49-F238E27FC236}">
              <a16:creationId xmlns:a16="http://schemas.microsoft.com/office/drawing/2014/main" id="{05209E9F-D362-4777-BAB4-98684F177184}"/>
            </a:ext>
          </a:extLst>
        </xdr:cNvPr>
        <xdr:cNvSpPr/>
      </xdr:nvSpPr>
      <xdr:spPr>
        <a:xfrm>
          <a:off x="10270066" y="5037667"/>
          <a:ext cx="173736" cy="173736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</a:rPr>
            <a:t>^</a:t>
          </a:r>
        </a:p>
      </xdr:txBody>
    </xdr:sp>
    <xdr:clientData/>
  </xdr:twoCellAnchor>
  <xdr:twoCellAnchor>
    <xdr:from>
      <xdr:col>11</xdr:col>
      <xdr:colOff>567267</xdr:colOff>
      <xdr:row>3</xdr:row>
      <xdr:rowOff>8465</xdr:rowOff>
    </xdr:from>
    <xdr:to>
      <xdr:col>12</xdr:col>
      <xdr:colOff>4403</xdr:colOff>
      <xdr:row>4</xdr:row>
      <xdr:rowOff>0</xdr:rowOff>
    </xdr:to>
    <xdr:sp macro="[0]!speed_sort_desc" textlink="">
      <xdr:nvSpPr>
        <xdr:cNvPr id="18" name="order_sort">
          <a:extLst>
            <a:ext uri="{FF2B5EF4-FFF2-40B4-BE49-F238E27FC236}">
              <a16:creationId xmlns:a16="http://schemas.microsoft.com/office/drawing/2014/main" id="{04222A5F-56AB-45AB-9185-4E96B89A2352}"/>
            </a:ext>
          </a:extLst>
        </xdr:cNvPr>
        <xdr:cNvSpPr/>
      </xdr:nvSpPr>
      <xdr:spPr>
        <a:xfrm>
          <a:off x="10447867" y="5037665"/>
          <a:ext cx="173736" cy="177802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</a:rPr>
            <a:t>v</a:t>
          </a:r>
        </a:p>
      </xdr:txBody>
    </xdr:sp>
    <xdr:clientData/>
  </xdr:twoCellAnchor>
  <xdr:twoCellAnchor>
    <xdr:from>
      <xdr:col>12</xdr:col>
      <xdr:colOff>550333</xdr:colOff>
      <xdr:row>3</xdr:row>
      <xdr:rowOff>8467</xdr:rowOff>
    </xdr:from>
    <xdr:to>
      <xdr:col>12</xdr:col>
      <xdr:colOff>724069</xdr:colOff>
      <xdr:row>3</xdr:row>
      <xdr:rowOff>182203</xdr:rowOff>
    </xdr:to>
    <xdr:sp macro="[0]!diff_sort_asc" textlink="">
      <xdr:nvSpPr>
        <xdr:cNvPr id="19" name="order_sort">
          <a:extLst>
            <a:ext uri="{FF2B5EF4-FFF2-40B4-BE49-F238E27FC236}">
              <a16:creationId xmlns:a16="http://schemas.microsoft.com/office/drawing/2014/main" id="{C0901673-5029-493E-9EC5-F67B40B022A9}"/>
            </a:ext>
          </a:extLst>
        </xdr:cNvPr>
        <xdr:cNvSpPr/>
      </xdr:nvSpPr>
      <xdr:spPr>
        <a:xfrm>
          <a:off x="11167533" y="5037667"/>
          <a:ext cx="173736" cy="173736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</a:rPr>
            <a:t>^</a:t>
          </a:r>
        </a:p>
      </xdr:txBody>
    </xdr:sp>
    <xdr:clientData/>
  </xdr:twoCellAnchor>
  <xdr:twoCellAnchor>
    <xdr:from>
      <xdr:col>12</xdr:col>
      <xdr:colOff>728134</xdr:colOff>
      <xdr:row>3</xdr:row>
      <xdr:rowOff>8465</xdr:rowOff>
    </xdr:from>
    <xdr:to>
      <xdr:col>13</xdr:col>
      <xdr:colOff>4403</xdr:colOff>
      <xdr:row>4</xdr:row>
      <xdr:rowOff>0</xdr:rowOff>
    </xdr:to>
    <xdr:sp macro="[0]!diff_sort_desc" textlink="">
      <xdr:nvSpPr>
        <xdr:cNvPr id="20" name="order_sort">
          <a:extLst>
            <a:ext uri="{FF2B5EF4-FFF2-40B4-BE49-F238E27FC236}">
              <a16:creationId xmlns:a16="http://schemas.microsoft.com/office/drawing/2014/main" id="{CE2B1AF3-C087-4815-853A-7419704CCB11}"/>
            </a:ext>
          </a:extLst>
        </xdr:cNvPr>
        <xdr:cNvSpPr/>
      </xdr:nvSpPr>
      <xdr:spPr>
        <a:xfrm>
          <a:off x="11345334" y="5037665"/>
          <a:ext cx="173736" cy="177802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</a:rPr>
            <a:t>v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0EF5E-C91D-468F-BF3A-84025BA3E772}">
  <sheetPr codeName="Sheet1"/>
  <dimension ref="A1:T48"/>
  <sheetViews>
    <sheetView workbookViewId="0">
      <selection activeCell="H14" sqref="H14"/>
    </sheetView>
  </sheetViews>
  <sheetFormatPr defaultRowHeight="14.4" x14ac:dyDescent="0.3"/>
  <cols>
    <col min="1" max="1" width="14.33203125" customWidth="1"/>
    <col min="2" max="2" width="6.6640625" customWidth="1"/>
    <col min="3" max="3" width="22.21875" customWidth="1"/>
    <col min="4" max="4" width="4.88671875" customWidth="1"/>
    <col min="5" max="5" width="6.6640625" customWidth="1"/>
    <col min="6" max="6" width="22.21875" customWidth="1"/>
    <col min="7" max="7" width="4.88671875" customWidth="1"/>
    <col min="9" max="9" width="32.77734375" customWidth="1"/>
    <col min="10" max="11" width="4.88671875" customWidth="1"/>
    <col min="12" max="12" width="13.88671875" customWidth="1"/>
    <col min="13" max="14" width="4.88671875" customWidth="1"/>
    <col min="15" max="15" width="34.88671875" customWidth="1"/>
    <col min="16" max="17" width="4.88671875" customWidth="1"/>
    <col min="18" max="18" width="7.109375" customWidth="1"/>
    <col min="19" max="19" width="15.44140625" customWidth="1"/>
  </cols>
  <sheetData>
    <row r="1" spans="1:20" ht="24" customHeight="1" thickBot="1" x14ac:dyDescent="0.35">
      <c r="A1" s="86" t="s">
        <v>24</v>
      </c>
      <c r="B1" s="87"/>
      <c r="C1" s="87"/>
      <c r="D1" s="87"/>
      <c r="E1" s="87"/>
      <c r="F1" s="87"/>
      <c r="G1" s="88"/>
    </row>
    <row r="2" spans="1:20" ht="15" thickBot="1" x14ac:dyDescent="0.35">
      <c r="A2" s="5" t="s">
        <v>0</v>
      </c>
      <c r="B2" s="95" t="s">
        <v>1</v>
      </c>
      <c r="C2" s="96"/>
      <c r="D2" s="97"/>
      <c r="E2" s="98" t="s">
        <v>2</v>
      </c>
      <c r="F2" s="96"/>
      <c r="G2" s="97"/>
      <c r="I2" s="93" t="s">
        <v>3</v>
      </c>
      <c r="J2" s="94"/>
      <c r="K2" s="36"/>
      <c r="L2" s="93" t="s">
        <v>7</v>
      </c>
      <c r="M2" s="94"/>
      <c r="N2" s="36"/>
      <c r="O2" s="93" t="s">
        <v>11</v>
      </c>
      <c r="P2" s="94"/>
      <c r="S2" t="s">
        <v>65</v>
      </c>
      <c r="T2">
        <f>J29+M23+P19</f>
        <v>21</v>
      </c>
    </row>
    <row r="3" spans="1:20" x14ac:dyDescent="0.3">
      <c r="A3" s="89" t="s">
        <v>74</v>
      </c>
      <c r="B3" s="15" t="s">
        <v>3</v>
      </c>
      <c r="C3" s="8" t="s">
        <v>4</v>
      </c>
      <c r="D3" s="4">
        <v>4</v>
      </c>
      <c r="E3" s="7" t="s">
        <v>3</v>
      </c>
      <c r="F3" s="8" t="s">
        <v>5</v>
      </c>
      <c r="G3" s="4">
        <v>4</v>
      </c>
      <c r="I3" s="40" t="s">
        <v>4</v>
      </c>
      <c r="J3" s="21">
        <v>4</v>
      </c>
      <c r="L3" s="34" t="s">
        <v>44</v>
      </c>
      <c r="M3" s="4">
        <v>3</v>
      </c>
      <c r="O3" s="34" t="s">
        <v>13</v>
      </c>
      <c r="P3" s="4">
        <v>3</v>
      </c>
      <c r="S3" t="s">
        <v>67</v>
      </c>
      <c r="T3">
        <f>17*5</f>
        <v>85</v>
      </c>
    </row>
    <row r="4" spans="1:20" x14ac:dyDescent="0.3">
      <c r="A4" s="90"/>
      <c r="B4" s="16" t="s">
        <v>3</v>
      </c>
      <c r="C4" s="10" t="s">
        <v>6</v>
      </c>
      <c r="D4" s="2">
        <v>0</v>
      </c>
      <c r="E4" s="9" t="s">
        <v>3</v>
      </c>
      <c r="F4" s="10" t="s">
        <v>6</v>
      </c>
      <c r="G4" s="2">
        <v>0</v>
      </c>
      <c r="I4" s="31" t="s">
        <v>5</v>
      </c>
      <c r="J4" s="2">
        <v>4</v>
      </c>
      <c r="L4" s="31" t="s">
        <v>18</v>
      </c>
      <c r="M4" s="2">
        <v>3</v>
      </c>
      <c r="O4" s="31" t="s">
        <v>55</v>
      </c>
      <c r="P4" s="2">
        <v>3</v>
      </c>
      <c r="S4" t="s">
        <v>66</v>
      </c>
      <c r="T4">
        <f>T3-T2</f>
        <v>64</v>
      </c>
    </row>
    <row r="5" spans="1:20" x14ac:dyDescent="0.3">
      <c r="A5" s="90"/>
      <c r="B5" s="17" t="s">
        <v>7</v>
      </c>
      <c r="C5" s="12" t="s">
        <v>8</v>
      </c>
      <c r="D5" s="2">
        <v>1</v>
      </c>
      <c r="E5" s="11" t="s">
        <v>7</v>
      </c>
      <c r="F5" s="12" t="s">
        <v>8</v>
      </c>
      <c r="G5" s="2">
        <v>1</v>
      </c>
      <c r="I5" s="31" t="s">
        <v>25</v>
      </c>
      <c r="J5" s="2">
        <v>3</v>
      </c>
      <c r="L5" s="31" t="s">
        <v>45</v>
      </c>
      <c r="M5" s="2">
        <v>1</v>
      </c>
      <c r="O5" s="31" t="s">
        <v>97</v>
      </c>
      <c r="P5" s="2">
        <v>3</v>
      </c>
      <c r="S5" t="s">
        <v>63</v>
      </c>
      <c r="T5">
        <f>SUM(J27,M21,P17)</f>
        <v>142.5</v>
      </c>
    </row>
    <row r="6" spans="1:20" x14ac:dyDescent="0.3">
      <c r="A6" s="90"/>
      <c r="B6" s="17" t="s">
        <v>7</v>
      </c>
      <c r="C6" s="12" t="s">
        <v>9</v>
      </c>
      <c r="D6" s="2">
        <v>0</v>
      </c>
      <c r="E6" s="11" t="s">
        <v>7</v>
      </c>
      <c r="F6" s="12" t="s">
        <v>9</v>
      </c>
      <c r="G6" s="2">
        <v>0</v>
      </c>
      <c r="I6" s="31" t="s">
        <v>27</v>
      </c>
      <c r="J6" s="2">
        <v>3</v>
      </c>
      <c r="L6" s="31" t="s">
        <v>19</v>
      </c>
      <c r="M6" s="2">
        <v>1</v>
      </c>
      <c r="O6" s="31" t="s">
        <v>56</v>
      </c>
      <c r="P6" s="2">
        <v>3</v>
      </c>
      <c r="S6" t="s">
        <v>68</v>
      </c>
      <c r="T6">
        <f>SUM(J28,M22,P18)</f>
        <v>163.5</v>
      </c>
    </row>
    <row r="7" spans="1:20" x14ac:dyDescent="0.3">
      <c r="A7" s="90"/>
      <c r="B7" s="18" t="s">
        <v>17</v>
      </c>
      <c r="C7" s="14" t="s">
        <v>15</v>
      </c>
      <c r="D7" s="2">
        <v>3</v>
      </c>
      <c r="E7" s="11" t="s">
        <v>7</v>
      </c>
      <c r="F7" s="12" t="s">
        <v>18</v>
      </c>
      <c r="G7" s="2">
        <v>3</v>
      </c>
      <c r="I7" s="31" t="s">
        <v>40</v>
      </c>
      <c r="J7" s="2">
        <v>3</v>
      </c>
      <c r="L7" s="31" t="s">
        <v>29</v>
      </c>
      <c r="M7" s="2">
        <v>3</v>
      </c>
      <c r="O7" s="31" t="s">
        <v>70</v>
      </c>
      <c r="P7" s="2">
        <v>2</v>
      </c>
    </row>
    <row r="8" spans="1:20" x14ac:dyDescent="0.3">
      <c r="A8" s="90"/>
      <c r="B8" s="18" t="s">
        <v>10</v>
      </c>
      <c r="C8" s="14" t="s">
        <v>12</v>
      </c>
      <c r="D8" s="2">
        <v>3</v>
      </c>
      <c r="E8" s="11" t="s">
        <v>7</v>
      </c>
      <c r="F8" s="12" t="s">
        <v>19</v>
      </c>
      <c r="G8" s="2">
        <v>1</v>
      </c>
      <c r="I8" s="31" t="s">
        <v>92</v>
      </c>
      <c r="J8" s="2">
        <v>4</v>
      </c>
      <c r="L8" s="31" t="s">
        <v>32</v>
      </c>
      <c r="M8" s="2">
        <v>3</v>
      </c>
      <c r="O8" s="31" t="s">
        <v>57</v>
      </c>
      <c r="P8" s="2"/>
    </row>
    <row r="9" spans="1:20" x14ac:dyDescent="0.3">
      <c r="A9" s="90"/>
      <c r="B9" s="18" t="s">
        <v>10</v>
      </c>
      <c r="C9" s="14" t="s">
        <v>13</v>
      </c>
      <c r="D9" s="2">
        <v>3</v>
      </c>
      <c r="E9" s="11" t="s">
        <v>7</v>
      </c>
      <c r="F9" s="12" t="s">
        <v>20</v>
      </c>
      <c r="G9" s="2">
        <v>1</v>
      </c>
      <c r="I9" s="31" t="s">
        <v>49</v>
      </c>
      <c r="J9" s="2">
        <v>0</v>
      </c>
      <c r="L9" s="31" t="s">
        <v>30</v>
      </c>
      <c r="M9" s="2">
        <v>1</v>
      </c>
      <c r="O9" s="31" t="s">
        <v>58</v>
      </c>
      <c r="P9" s="2"/>
    </row>
    <row r="10" spans="1:20" x14ac:dyDescent="0.3">
      <c r="A10" s="90"/>
      <c r="B10" s="18" t="s">
        <v>10</v>
      </c>
      <c r="C10" s="14" t="s">
        <v>14</v>
      </c>
      <c r="D10" s="2">
        <v>3</v>
      </c>
      <c r="E10" s="13" t="s">
        <v>10</v>
      </c>
      <c r="F10" s="14" t="s">
        <v>21</v>
      </c>
      <c r="G10" s="2">
        <v>3</v>
      </c>
      <c r="I10" s="31" t="s">
        <v>50</v>
      </c>
      <c r="J10" s="2">
        <v>0</v>
      </c>
      <c r="L10" s="31" t="s">
        <v>33</v>
      </c>
      <c r="M10" s="2">
        <v>1</v>
      </c>
      <c r="O10" s="31" t="s">
        <v>59</v>
      </c>
      <c r="P10" s="2">
        <v>6</v>
      </c>
    </row>
    <row r="11" spans="1:20" x14ac:dyDescent="0.3">
      <c r="A11" s="90"/>
      <c r="B11" s="19"/>
      <c r="C11" s="1"/>
      <c r="D11" s="2"/>
      <c r="E11" s="13" t="s">
        <v>10</v>
      </c>
      <c r="F11" s="14" t="s">
        <v>22</v>
      </c>
      <c r="G11" s="2">
        <v>1</v>
      </c>
      <c r="I11" s="19" t="s">
        <v>41</v>
      </c>
      <c r="J11" s="2"/>
      <c r="K11">
        <v>4</v>
      </c>
      <c r="L11" s="31" t="s">
        <v>20</v>
      </c>
      <c r="M11" s="2">
        <v>1</v>
      </c>
      <c r="O11" s="32" t="s">
        <v>60</v>
      </c>
      <c r="P11" s="2">
        <v>3</v>
      </c>
      <c r="Q11">
        <v>4</v>
      </c>
    </row>
    <row r="12" spans="1:20" x14ac:dyDescent="0.3">
      <c r="A12" s="90"/>
      <c r="B12" s="19"/>
      <c r="C12" s="1"/>
      <c r="D12" s="2"/>
      <c r="E12" s="13" t="s">
        <v>10</v>
      </c>
      <c r="F12" s="14" t="s">
        <v>23</v>
      </c>
      <c r="G12" s="2">
        <v>3</v>
      </c>
      <c r="I12" s="84" t="s">
        <v>42</v>
      </c>
      <c r="J12" s="2">
        <v>2</v>
      </c>
      <c r="L12" s="84" t="s">
        <v>31</v>
      </c>
      <c r="M12" s="2">
        <v>4</v>
      </c>
      <c r="O12" s="31" t="s">
        <v>61</v>
      </c>
      <c r="P12" s="2">
        <v>4</v>
      </c>
    </row>
    <row r="13" spans="1:20" ht="15" thickBot="1" x14ac:dyDescent="0.35">
      <c r="A13" s="91"/>
      <c r="B13" s="99" t="s">
        <v>16</v>
      </c>
      <c r="C13" s="100"/>
      <c r="D13" s="20">
        <f>SUM(D3:D10)</f>
        <v>17</v>
      </c>
      <c r="E13" s="101" t="s">
        <v>16</v>
      </c>
      <c r="F13" s="100"/>
      <c r="G13" s="20">
        <f>SUM(G3:G12)</f>
        <v>17</v>
      </c>
      <c r="I13" s="19" t="s">
        <v>43</v>
      </c>
      <c r="J13" s="2"/>
      <c r="K13">
        <v>2</v>
      </c>
      <c r="L13" s="31" t="s">
        <v>46</v>
      </c>
      <c r="M13" s="2">
        <v>4</v>
      </c>
      <c r="O13" s="31" t="s">
        <v>71</v>
      </c>
      <c r="P13" s="2">
        <v>4</v>
      </c>
    </row>
    <row r="14" spans="1:20" x14ac:dyDescent="0.3">
      <c r="A14" s="89" t="s">
        <v>75</v>
      </c>
      <c r="B14" s="22" t="s">
        <v>3</v>
      </c>
      <c r="C14" s="23" t="s">
        <v>25</v>
      </c>
      <c r="D14" s="21">
        <v>3</v>
      </c>
      <c r="E14" s="24" t="s">
        <v>3</v>
      </c>
      <c r="F14" s="23" t="s">
        <v>27</v>
      </c>
      <c r="G14" s="21">
        <v>3</v>
      </c>
      <c r="I14" s="85" t="s">
        <v>96</v>
      </c>
      <c r="J14" s="2"/>
      <c r="L14" s="31" t="s">
        <v>47</v>
      </c>
      <c r="M14" s="2">
        <v>4</v>
      </c>
      <c r="O14" s="31" t="s">
        <v>86</v>
      </c>
      <c r="P14" s="2">
        <v>3</v>
      </c>
    </row>
    <row r="15" spans="1:20" x14ac:dyDescent="0.3">
      <c r="A15" s="90"/>
      <c r="B15" s="16" t="s">
        <v>3</v>
      </c>
      <c r="C15" s="10" t="s">
        <v>26</v>
      </c>
      <c r="D15" s="2">
        <v>3</v>
      </c>
      <c r="E15" s="9" t="s">
        <v>3</v>
      </c>
      <c r="F15" s="10" t="s">
        <v>28</v>
      </c>
      <c r="G15" s="2">
        <v>3</v>
      </c>
      <c r="I15" s="85" t="s">
        <v>101</v>
      </c>
      <c r="J15" s="2">
        <v>4</v>
      </c>
      <c r="K15">
        <v>2</v>
      </c>
      <c r="L15" s="47" t="s">
        <v>48</v>
      </c>
      <c r="M15" s="2"/>
      <c r="O15" s="31" t="s">
        <v>102</v>
      </c>
      <c r="P15" s="2">
        <v>11</v>
      </c>
    </row>
    <row r="16" spans="1:20" ht="15" thickBot="1" x14ac:dyDescent="0.35">
      <c r="A16" s="90"/>
      <c r="B16" s="16" t="s">
        <v>3</v>
      </c>
      <c r="C16" s="10" t="s">
        <v>34</v>
      </c>
      <c r="D16" s="2">
        <v>4</v>
      </c>
      <c r="E16" s="45" t="s">
        <v>3</v>
      </c>
      <c r="F16" s="46" t="s">
        <v>40</v>
      </c>
      <c r="G16" s="2">
        <v>3</v>
      </c>
      <c r="I16" s="52" t="s">
        <v>95</v>
      </c>
      <c r="J16" s="2">
        <v>4</v>
      </c>
      <c r="L16" s="32" t="s">
        <v>89</v>
      </c>
      <c r="M16" s="2">
        <v>1.5</v>
      </c>
      <c r="O16" s="33" t="s">
        <v>62</v>
      </c>
      <c r="P16" s="3"/>
    </row>
    <row r="17" spans="1:16" x14ac:dyDescent="0.3">
      <c r="A17" s="90"/>
      <c r="B17" s="16" t="s">
        <v>3</v>
      </c>
      <c r="C17" s="10" t="s">
        <v>6</v>
      </c>
      <c r="D17" s="2">
        <v>0</v>
      </c>
      <c r="E17" s="9" t="s">
        <v>3</v>
      </c>
      <c r="F17" s="10" t="s">
        <v>73</v>
      </c>
      <c r="G17" s="2">
        <v>0</v>
      </c>
      <c r="I17" s="52" t="s">
        <v>93</v>
      </c>
      <c r="J17" s="2"/>
      <c r="K17">
        <v>4</v>
      </c>
      <c r="L17" s="31" t="s">
        <v>52</v>
      </c>
      <c r="M17" s="2">
        <v>6</v>
      </c>
      <c r="O17" s="35" t="s">
        <v>63</v>
      </c>
      <c r="P17">
        <f>SUM(P3:P16)</f>
        <v>45</v>
      </c>
    </row>
    <row r="18" spans="1:16" x14ac:dyDescent="0.3">
      <c r="A18" s="90"/>
      <c r="B18" s="17" t="s">
        <v>7</v>
      </c>
      <c r="C18" s="12" t="s">
        <v>8</v>
      </c>
      <c r="D18" s="2">
        <v>1</v>
      </c>
      <c r="E18" s="11" t="s">
        <v>7</v>
      </c>
      <c r="F18" s="12" t="s">
        <v>8</v>
      </c>
      <c r="G18" s="2">
        <v>1</v>
      </c>
      <c r="I18" s="31" t="s">
        <v>15</v>
      </c>
      <c r="J18" s="2">
        <v>3</v>
      </c>
      <c r="L18" s="31" t="s">
        <v>53</v>
      </c>
      <c r="M18" s="2">
        <v>1</v>
      </c>
      <c r="O18" s="35" t="s">
        <v>64</v>
      </c>
      <c r="P18">
        <f>SUM(P3:Q16)</f>
        <v>49</v>
      </c>
    </row>
    <row r="19" spans="1:16" ht="15" thickBot="1" x14ac:dyDescent="0.35">
      <c r="A19" s="90"/>
      <c r="B19" s="17" t="s">
        <v>7</v>
      </c>
      <c r="C19" s="12" t="s">
        <v>9</v>
      </c>
      <c r="D19" s="2">
        <v>0.5</v>
      </c>
      <c r="E19" s="11" t="s">
        <v>7</v>
      </c>
      <c r="F19" s="12" t="s">
        <v>9</v>
      </c>
      <c r="G19" s="2">
        <v>0</v>
      </c>
      <c r="I19" s="31" t="s">
        <v>34</v>
      </c>
      <c r="J19" s="2">
        <v>4</v>
      </c>
      <c r="L19" s="33" t="s">
        <v>54</v>
      </c>
      <c r="M19" s="3"/>
      <c r="N19">
        <v>1</v>
      </c>
      <c r="O19" s="92" t="s">
        <v>65</v>
      </c>
      <c r="P19">
        <f>P18-P17</f>
        <v>4</v>
      </c>
    </row>
    <row r="20" spans="1:16" x14ac:dyDescent="0.3">
      <c r="A20" s="90"/>
      <c r="B20" s="17" t="s">
        <v>7</v>
      </c>
      <c r="C20" s="12" t="s">
        <v>29</v>
      </c>
      <c r="D20" s="2">
        <v>3</v>
      </c>
      <c r="E20" s="11" t="s">
        <v>7</v>
      </c>
      <c r="F20" s="12" t="s">
        <v>32</v>
      </c>
      <c r="G20" s="2">
        <v>3</v>
      </c>
      <c r="I20" s="31" t="s">
        <v>69</v>
      </c>
      <c r="J20" s="2">
        <v>4</v>
      </c>
      <c r="O20" s="92"/>
      <c r="P20">
        <f>SUM(Q3:Q16)</f>
        <v>4</v>
      </c>
    </row>
    <row r="21" spans="1:16" x14ac:dyDescent="0.3">
      <c r="A21" s="90"/>
      <c r="B21" s="17" t="s">
        <v>7</v>
      </c>
      <c r="C21" s="12" t="s">
        <v>30</v>
      </c>
      <c r="D21" s="2">
        <v>1</v>
      </c>
      <c r="E21" s="11" t="s">
        <v>7</v>
      </c>
      <c r="F21" s="12" t="s">
        <v>33</v>
      </c>
      <c r="G21" s="2">
        <v>1</v>
      </c>
      <c r="I21" s="31" t="s">
        <v>26</v>
      </c>
      <c r="J21" s="2">
        <v>3</v>
      </c>
      <c r="L21" s="35" t="s">
        <v>63</v>
      </c>
      <c r="M21">
        <f>SUM(M3:M19)</f>
        <v>37.5</v>
      </c>
    </row>
    <row r="22" spans="1:16" x14ac:dyDescent="0.3">
      <c r="A22" s="90"/>
      <c r="B22" s="18" t="s">
        <v>10</v>
      </c>
      <c r="C22" s="14" t="s">
        <v>72</v>
      </c>
      <c r="D22" s="2">
        <v>1</v>
      </c>
      <c r="E22" s="13" t="s">
        <v>10</v>
      </c>
      <c r="F22" s="14" t="s">
        <v>85</v>
      </c>
      <c r="G22" s="2">
        <v>3</v>
      </c>
      <c r="I22" s="31" t="s">
        <v>28</v>
      </c>
      <c r="J22" s="2">
        <v>3</v>
      </c>
      <c r="L22" s="35" t="s">
        <v>64</v>
      </c>
      <c r="M22">
        <f>SUM(M3:N20)</f>
        <v>38.5</v>
      </c>
    </row>
    <row r="23" spans="1:16" ht="15" thickBot="1" x14ac:dyDescent="0.35">
      <c r="A23" s="105"/>
      <c r="B23" s="115" t="s">
        <v>16</v>
      </c>
      <c r="C23" s="116"/>
      <c r="D23" s="3">
        <f>SUM(D14:D22)</f>
        <v>16.5</v>
      </c>
      <c r="E23" s="117" t="s">
        <v>16</v>
      </c>
      <c r="F23" s="116"/>
      <c r="G23" s="3">
        <f>SUM(G14:G22)</f>
        <v>17</v>
      </c>
      <c r="I23" s="31" t="s">
        <v>91</v>
      </c>
      <c r="J23" s="2">
        <v>4</v>
      </c>
      <c r="L23" s="92" t="s">
        <v>65</v>
      </c>
      <c r="M23">
        <f>M22-M21</f>
        <v>1</v>
      </c>
    </row>
    <row r="24" spans="1:16" x14ac:dyDescent="0.3">
      <c r="A24" s="102" t="s">
        <v>104</v>
      </c>
      <c r="B24" s="22" t="s">
        <v>3</v>
      </c>
      <c r="C24" s="23" t="s">
        <v>92</v>
      </c>
      <c r="D24" s="21">
        <v>4</v>
      </c>
      <c r="E24" s="24" t="s">
        <v>3</v>
      </c>
      <c r="F24" s="23" t="s">
        <v>83</v>
      </c>
      <c r="G24" s="21">
        <v>4</v>
      </c>
      <c r="I24" s="39" t="s">
        <v>51</v>
      </c>
      <c r="J24" s="20">
        <v>4</v>
      </c>
      <c r="L24" s="92"/>
      <c r="M24">
        <f>SUM(N3:N19)</f>
        <v>1</v>
      </c>
    </row>
    <row r="25" spans="1:16" x14ac:dyDescent="0.3">
      <c r="A25" s="103"/>
      <c r="B25" s="16" t="s">
        <v>3</v>
      </c>
      <c r="C25" s="10" t="s">
        <v>82</v>
      </c>
      <c r="D25" s="2">
        <v>4</v>
      </c>
      <c r="E25" s="16" t="s">
        <v>3</v>
      </c>
      <c r="F25" s="42" t="s">
        <v>100</v>
      </c>
      <c r="G25" s="49">
        <v>2</v>
      </c>
      <c r="I25" s="32" t="s">
        <v>170</v>
      </c>
      <c r="J25" s="2"/>
    </row>
    <row r="26" spans="1:16" ht="15" thickBot="1" x14ac:dyDescent="0.35">
      <c r="A26" s="103"/>
      <c r="B26" s="16" t="s">
        <v>3</v>
      </c>
      <c r="C26" s="10" t="s">
        <v>73</v>
      </c>
      <c r="D26" s="2">
        <v>0</v>
      </c>
      <c r="E26" s="9" t="s">
        <v>3</v>
      </c>
      <c r="F26" s="10" t="s">
        <v>98</v>
      </c>
      <c r="G26" s="2">
        <v>2</v>
      </c>
      <c r="I26" s="48" t="s">
        <v>171</v>
      </c>
      <c r="J26" s="3">
        <v>4</v>
      </c>
      <c r="K26">
        <v>4</v>
      </c>
    </row>
    <row r="27" spans="1:16" x14ac:dyDescent="0.3">
      <c r="A27" s="103"/>
      <c r="B27" s="17" t="s">
        <v>7</v>
      </c>
      <c r="C27" s="12" t="s">
        <v>8</v>
      </c>
      <c r="D27" s="2">
        <v>1</v>
      </c>
      <c r="E27" s="9" t="s">
        <v>3</v>
      </c>
      <c r="F27" s="10" t="s">
        <v>73</v>
      </c>
      <c r="G27" s="2">
        <v>0</v>
      </c>
      <c r="I27" s="35" t="s">
        <v>63</v>
      </c>
      <c r="J27">
        <f>SUM(J3:J26)</f>
        <v>60</v>
      </c>
    </row>
    <row r="28" spans="1:16" x14ac:dyDescent="0.3">
      <c r="A28" s="103"/>
      <c r="B28" s="17" t="s">
        <v>7</v>
      </c>
      <c r="C28" s="12" t="s">
        <v>9</v>
      </c>
      <c r="D28" s="2">
        <v>0</v>
      </c>
      <c r="E28" s="11" t="s">
        <v>7</v>
      </c>
      <c r="F28" s="12" t="s">
        <v>8</v>
      </c>
      <c r="G28" s="2">
        <v>1</v>
      </c>
      <c r="I28" s="35" t="s">
        <v>64</v>
      </c>
      <c r="J28">
        <f>SUM(J3:K26)</f>
        <v>76</v>
      </c>
    </row>
    <row r="29" spans="1:16" x14ac:dyDescent="0.3">
      <c r="A29" s="103"/>
      <c r="B29" s="17" t="s">
        <v>7</v>
      </c>
      <c r="C29" s="12" t="s">
        <v>53</v>
      </c>
      <c r="D29" s="2">
        <v>1</v>
      </c>
      <c r="E29" s="11" t="s">
        <v>7</v>
      </c>
      <c r="F29" s="12" t="s">
        <v>9</v>
      </c>
      <c r="G29" s="2">
        <v>0</v>
      </c>
      <c r="I29" s="92" t="s">
        <v>65</v>
      </c>
      <c r="J29">
        <f>J28-J27</f>
        <v>16</v>
      </c>
    </row>
    <row r="30" spans="1:16" x14ac:dyDescent="0.3">
      <c r="A30" s="103"/>
      <c r="B30" s="17" t="s">
        <v>7</v>
      </c>
      <c r="C30" s="12" t="s">
        <v>46</v>
      </c>
      <c r="D30" s="2">
        <v>4</v>
      </c>
      <c r="E30" s="11" t="s">
        <v>7</v>
      </c>
      <c r="F30" s="12" t="s">
        <v>47</v>
      </c>
      <c r="G30" s="2">
        <v>4</v>
      </c>
      <c r="I30" s="92"/>
      <c r="J30">
        <f>SUM(K3:K26)</f>
        <v>16</v>
      </c>
    </row>
    <row r="31" spans="1:16" x14ac:dyDescent="0.3">
      <c r="A31" s="103"/>
      <c r="B31" s="18" t="s">
        <v>10</v>
      </c>
      <c r="C31" s="14" t="s">
        <v>90</v>
      </c>
      <c r="D31" s="2">
        <v>4</v>
      </c>
      <c r="E31" s="50" t="s">
        <v>7</v>
      </c>
      <c r="F31" s="51" t="s">
        <v>77</v>
      </c>
      <c r="G31" s="49">
        <v>1</v>
      </c>
    </row>
    <row r="32" spans="1:16" x14ac:dyDescent="0.3">
      <c r="A32" s="103"/>
      <c r="B32" s="19"/>
      <c r="C32" s="1"/>
      <c r="D32" s="2"/>
      <c r="E32" s="13" t="s">
        <v>10</v>
      </c>
      <c r="F32" s="14" t="s">
        <v>76</v>
      </c>
      <c r="G32" s="2">
        <v>4</v>
      </c>
    </row>
    <row r="33" spans="1:7" ht="15" thickBot="1" x14ac:dyDescent="0.35">
      <c r="A33" s="104"/>
      <c r="B33" s="115" t="s">
        <v>16</v>
      </c>
      <c r="C33" s="116"/>
      <c r="D33" s="3">
        <f>SUM(D24:D31)</f>
        <v>18</v>
      </c>
      <c r="E33" s="117" t="s">
        <v>16</v>
      </c>
      <c r="F33" s="116"/>
      <c r="G33" s="3">
        <f>SUM(G24:G32)</f>
        <v>18</v>
      </c>
    </row>
    <row r="34" spans="1:7" x14ac:dyDescent="0.3">
      <c r="A34" s="89" t="s">
        <v>103</v>
      </c>
      <c r="B34" s="22" t="s">
        <v>3</v>
      </c>
      <c r="C34" s="23" t="s">
        <v>42</v>
      </c>
      <c r="D34" s="21">
        <v>2</v>
      </c>
      <c r="E34" s="26" t="s">
        <v>3</v>
      </c>
      <c r="F34" s="25" t="s">
        <v>43</v>
      </c>
      <c r="G34" s="21">
        <v>2</v>
      </c>
    </row>
    <row r="35" spans="1:7" x14ac:dyDescent="0.3">
      <c r="A35" s="90"/>
      <c r="B35" s="16" t="s">
        <v>3</v>
      </c>
      <c r="C35" s="10" t="s">
        <v>81</v>
      </c>
      <c r="D35" s="2">
        <v>4</v>
      </c>
      <c r="E35" s="6" t="s">
        <v>3</v>
      </c>
      <c r="F35" s="1" t="s">
        <v>41</v>
      </c>
      <c r="G35" s="2">
        <v>4</v>
      </c>
    </row>
    <row r="36" spans="1:7" x14ac:dyDescent="0.3">
      <c r="A36" s="90"/>
      <c r="B36" s="16" t="s">
        <v>3</v>
      </c>
      <c r="C36" s="10" t="s">
        <v>106</v>
      </c>
      <c r="D36" s="2">
        <v>2</v>
      </c>
      <c r="E36" s="6" t="s">
        <v>3</v>
      </c>
      <c r="F36" s="1" t="s">
        <v>80</v>
      </c>
      <c r="G36" s="2">
        <v>0</v>
      </c>
    </row>
    <row r="37" spans="1:7" x14ac:dyDescent="0.3">
      <c r="A37" s="90"/>
      <c r="B37" s="17" t="s">
        <v>7</v>
      </c>
      <c r="C37" s="12" t="s">
        <v>31</v>
      </c>
      <c r="D37" s="2">
        <v>4</v>
      </c>
      <c r="E37" s="6" t="s">
        <v>3</v>
      </c>
      <c r="F37" s="1" t="s">
        <v>99</v>
      </c>
      <c r="G37" s="2">
        <v>2</v>
      </c>
    </row>
    <row r="38" spans="1:7" x14ac:dyDescent="0.3">
      <c r="A38" s="90"/>
      <c r="B38" s="17" t="s">
        <v>7</v>
      </c>
      <c r="C38" s="12" t="s">
        <v>8</v>
      </c>
      <c r="D38" s="2">
        <v>1</v>
      </c>
      <c r="E38" s="19" t="s">
        <v>3</v>
      </c>
      <c r="F38" s="1" t="s">
        <v>100</v>
      </c>
      <c r="G38" s="2">
        <v>2</v>
      </c>
    </row>
    <row r="39" spans="1:7" x14ac:dyDescent="0.3">
      <c r="A39" s="90"/>
      <c r="B39" s="17" t="s">
        <v>7</v>
      </c>
      <c r="C39" s="12" t="s">
        <v>9</v>
      </c>
      <c r="D39" s="2">
        <v>1</v>
      </c>
      <c r="E39" s="6" t="s">
        <v>7</v>
      </c>
      <c r="F39" s="1" t="s">
        <v>84</v>
      </c>
      <c r="G39" s="2">
        <v>2</v>
      </c>
    </row>
    <row r="40" spans="1:7" x14ac:dyDescent="0.3">
      <c r="A40" s="90"/>
      <c r="B40" s="18" t="s">
        <v>10</v>
      </c>
      <c r="C40" s="14" t="s">
        <v>79</v>
      </c>
      <c r="D40" s="2">
        <v>4</v>
      </c>
      <c r="E40" s="19" t="s">
        <v>7</v>
      </c>
      <c r="F40" s="1" t="s">
        <v>8</v>
      </c>
      <c r="G40" s="2">
        <v>1</v>
      </c>
    </row>
    <row r="41" spans="1:7" x14ac:dyDescent="0.3">
      <c r="A41" s="90"/>
      <c r="B41" s="19"/>
      <c r="C41" s="1" t="s">
        <v>172</v>
      </c>
      <c r="D41" s="2"/>
      <c r="E41" s="19" t="s">
        <v>7</v>
      </c>
      <c r="F41" s="1" t="s">
        <v>9</v>
      </c>
      <c r="G41" s="2">
        <v>0</v>
      </c>
    </row>
    <row r="42" spans="1:7" x14ac:dyDescent="0.3">
      <c r="A42" s="90"/>
      <c r="B42" s="19"/>
      <c r="C42" s="1"/>
      <c r="D42" s="2"/>
      <c r="E42" s="19" t="s">
        <v>7</v>
      </c>
      <c r="F42" s="1" t="s">
        <v>54</v>
      </c>
      <c r="G42" s="2">
        <v>1</v>
      </c>
    </row>
    <row r="43" spans="1:7" x14ac:dyDescent="0.3">
      <c r="A43" s="90"/>
      <c r="B43" s="19"/>
      <c r="C43" s="1"/>
      <c r="D43" s="2"/>
      <c r="E43" s="6" t="s">
        <v>10</v>
      </c>
      <c r="F43" s="1" t="s">
        <v>105</v>
      </c>
      <c r="G43" s="2">
        <v>4</v>
      </c>
    </row>
    <row r="44" spans="1:7" ht="15" thickBot="1" x14ac:dyDescent="0.35">
      <c r="A44" s="91"/>
      <c r="B44" s="99" t="s">
        <v>16</v>
      </c>
      <c r="C44" s="100"/>
      <c r="D44" s="20">
        <f>SUM(D34:D41)</f>
        <v>18</v>
      </c>
      <c r="E44" s="101" t="s">
        <v>16</v>
      </c>
      <c r="F44" s="100"/>
      <c r="G44" s="20">
        <f>SUM(G34:G43)</f>
        <v>18</v>
      </c>
    </row>
    <row r="45" spans="1:7" x14ac:dyDescent="0.3">
      <c r="A45" s="89" t="s">
        <v>35</v>
      </c>
      <c r="B45" s="24" t="s">
        <v>3</v>
      </c>
      <c r="C45" s="27" t="s">
        <v>36</v>
      </c>
      <c r="D45" s="21">
        <f>SUM(D3:D4,G3:G4,D14:D17,G14:G17,D24:D26,G24:G27,D34:D36,G34:G38)</f>
        <v>61</v>
      </c>
      <c r="E45" s="106" t="s">
        <v>39</v>
      </c>
      <c r="F45" s="107"/>
      <c r="G45" s="112">
        <f>SUM(D13,G13,D23,G23,3,D33,G33,D44,G44)</f>
        <v>142.5</v>
      </c>
    </row>
    <row r="46" spans="1:7" x14ac:dyDescent="0.3">
      <c r="A46" s="90"/>
      <c r="B46" s="11" t="s">
        <v>7</v>
      </c>
      <c r="C46" s="28" t="s">
        <v>37</v>
      </c>
      <c r="D46" s="2">
        <f>SUM(D5:D6,G5:G9,D18:D21,G18:G21,D27:D30,G28:G30,D37:D39,G39:G42)</f>
        <v>38.5</v>
      </c>
      <c r="E46" s="108"/>
      <c r="F46" s="109"/>
      <c r="G46" s="113"/>
    </row>
    <row r="47" spans="1:7" ht="15" thickBot="1" x14ac:dyDescent="0.35">
      <c r="A47" s="105"/>
      <c r="B47" s="29" t="s">
        <v>10</v>
      </c>
      <c r="C47" s="30" t="s">
        <v>38</v>
      </c>
      <c r="D47" s="3">
        <f>SUM(D7:D10,G10:G12,D22,G22,D31,G32,D40,G43)</f>
        <v>39</v>
      </c>
      <c r="E47" s="110"/>
      <c r="F47" s="111"/>
      <c r="G47" s="114"/>
    </row>
    <row r="48" spans="1:7" x14ac:dyDescent="0.3">
      <c r="C48" t="s">
        <v>94</v>
      </c>
      <c r="D48">
        <f>SUM(D45:D47)</f>
        <v>138.5</v>
      </c>
    </row>
  </sheetData>
  <mergeCells count="24">
    <mergeCell ref="A45:A47"/>
    <mergeCell ref="E45:F47"/>
    <mergeCell ref="G45:G47"/>
    <mergeCell ref="B23:C23"/>
    <mergeCell ref="E23:F23"/>
    <mergeCell ref="A14:A23"/>
    <mergeCell ref="B33:C33"/>
    <mergeCell ref="E33:F33"/>
    <mergeCell ref="A34:A44"/>
    <mergeCell ref="B44:C44"/>
    <mergeCell ref="E44:F44"/>
    <mergeCell ref="A1:G1"/>
    <mergeCell ref="A3:A13"/>
    <mergeCell ref="O19:O20"/>
    <mergeCell ref="L23:L24"/>
    <mergeCell ref="I2:J2"/>
    <mergeCell ref="L2:M2"/>
    <mergeCell ref="O2:P2"/>
    <mergeCell ref="B2:D2"/>
    <mergeCell ref="E2:G2"/>
    <mergeCell ref="B13:C13"/>
    <mergeCell ref="E13:F13"/>
    <mergeCell ref="A24:A33"/>
    <mergeCell ref="I29:I30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30945-36B6-4192-801D-8DE88E671B1F}">
  <sheetPr codeName="Sheet5"/>
  <dimension ref="A2:P43"/>
  <sheetViews>
    <sheetView tabSelected="1" zoomScale="90" zoomScaleNormal="90" workbookViewId="0">
      <selection activeCell="M2" sqref="M2"/>
    </sheetView>
  </sheetViews>
  <sheetFormatPr defaultRowHeight="14.4" x14ac:dyDescent="0.3"/>
  <cols>
    <col min="1" max="1" width="20.21875" customWidth="1"/>
    <col min="2" max="2" width="25.6640625" customWidth="1"/>
    <col min="3" max="3" width="10.21875" bestFit="1" customWidth="1"/>
    <col min="5" max="5" width="15.77734375" customWidth="1"/>
    <col min="6" max="6" width="5.77734375" customWidth="1"/>
    <col min="7" max="7" width="3.44140625" customWidth="1"/>
    <col min="8" max="8" width="10.6640625" customWidth="1"/>
    <col min="9" max="9" width="22.21875" customWidth="1"/>
    <col min="10" max="10" width="8.88671875" customWidth="1"/>
    <col min="11" max="11" width="12.21875" customWidth="1"/>
    <col min="12" max="12" width="10.77734375" customWidth="1"/>
    <col min="13" max="13" width="13.109375" customWidth="1"/>
    <col min="14" max="14" width="17.6640625" customWidth="1"/>
    <col min="15" max="15" width="19" customWidth="1"/>
    <col min="16" max="16" width="21.21875" customWidth="1"/>
  </cols>
  <sheetData>
    <row r="2" spans="8:16" x14ac:dyDescent="0.3">
      <c r="H2" s="62" t="s">
        <v>154</v>
      </c>
      <c r="I2" s="43"/>
      <c r="J2" s="43"/>
      <c r="K2" s="43" t="s">
        <v>155</v>
      </c>
      <c r="L2" s="71">
        <v>16</v>
      </c>
      <c r="M2" s="43"/>
      <c r="N2" s="43"/>
      <c r="O2" s="43"/>
      <c r="P2" s="63"/>
    </row>
    <row r="3" spans="8:16" x14ac:dyDescent="0.3">
      <c r="H3" s="66"/>
      <c r="I3" s="53"/>
      <c r="J3" s="53"/>
      <c r="K3" s="53"/>
      <c r="L3" s="53"/>
      <c r="M3" s="53"/>
      <c r="N3" s="53"/>
      <c r="O3" s="53"/>
      <c r="P3" s="70"/>
    </row>
    <row r="4" spans="8:16" x14ac:dyDescent="0.3">
      <c r="H4" s="62" t="s">
        <v>133</v>
      </c>
      <c r="I4" s="43" t="s">
        <v>127</v>
      </c>
      <c r="J4" s="43" t="s">
        <v>128</v>
      </c>
      <c r="K4" s="43" t="s">
        <v>129</v>
      </c>
      <c r="L4" s="43" t="s">
        <v>130</v>
      </c>
      <c r="M4" s="43" t="s">
        <v>131</v>
      </c>
      <c r="N4" s="43" t="s">
        <v>132</v>
      </c>
      <c r="O4" s="43" t="s">
        <v>134</v>
      </c>
      <c r="P4" s="81" t="s">
        <v>149</v>
      </c>
    </row>
    <row r="5" spans="8:16" x14ac:dyDescent="0.3">
      <c r="H5" s="72">
        <v>1</v>
      </c>
      <c r="I5" s="122" t="s">
        <v>161</v>
      </c>
      <c r="J5" s="124">
        <v>4.5</v>
      </c>
      <c r="K5" s="119">
        <v>1892</v>
      </c>
      <c r="L5" s="120" t="s">
        <v>113</v>
      </c>
      <c r="M5" s="126">
        <v>8</v>
      </c>
      <c r="N5" s="118" t="s">
        <v>136</v>
      </c>
      <c r="O5" s="118" t="s">
        <v>118</v>
      </c>
      <c r="P5" s="82" t="s">
        <v>139</v>
      </c>
    </row>
    <row r="6" spans="8:16" x14ac:dyDescent="0.3">
      <c r="H6" s="72">
        <v>2</v>
      </c>
      <c r="I6" t="s">
        <v>88</v>
      </c>
      <c r="J6" s="78">
        <v>9</v>
      </c>
      <c r="K6" s="37">
        <v>1783</v>
      </c>
      <c r="L6" s="76" t="s">
        <v>115</v>
      </c>
      <c r="M6" s="80">
        <v>7</v>
      </c>
      <c r="N6" t="s">
        <v>137</v>
      </c>
      <c r="O6" t="s">
        <v>123</v>
      </c>
      <c r="P6" s="82" t="s">
        <v>169</v>
      </c>
    </row>
    <row r="7" spans="8:16" x14ac:dyDescent="0.3">
      <c r="H7" s="72">
        <v>3</v>
      </c>
      <c r="I7" s="55" t="s">
        <v>110</v>
      </c>
      <c r="J7" s="78">
        <v>7</v>
      </c>
      <c r="K7" s="54">
        <v>2003</v>
      </c>
      <c r="L7" s="79" t="s">
        <v>114</v>
      </c>
      <c r="M7" s="65">
        <v>4</v>
      </c>
      <c r="N7" t="s">
        <v>120</v>
      </c>
      <c r="O7" t="s">
        <v>121</v>
      </c>
      <c r="P7" s="82" t="s">
        <v>153</v>
      </c>
    </row>
    <row r="8" spans="8:16" x14ac:dyDescent="0.3">
      <c r="H8" s="72">
        <v>4</v>
      </c>
      <c r="I8" s="123" t="s">
        <v>148</v>
      </c>
      <c r="J8" s="128">
        <v>6</v>
      </c>
      <c r="K8" s="129">
        <v>2007</v>
      </c>
      <c r="L8" s="121" t="s">
        <v>115</v>
      </c>
      <c r="M8" s="126">
        <v>8</v>
      </c>
      <c r="N8" s="118" t="s">
        <v>151</v>
      </c>
      <c r="O8" s="118" t="s">
        <v>150</v>
      </c>
      <c r="P8" s="82" t="s">
        <v>152</v>
      </c>
    </row>
    <row r="9" spans="8:16" x14ac:dyDescent="0.3">
      <c r="H9" s="73">
        <v>5</v>
      </c>
      <c r="I9" s="53" t="s">
        <v>107</v>
      </c>
      <c r="J9" s="58">
        <v>15</v>
      </c>
      <c r="K9" s="59">
        <v>1845</v>
      </c>
      <c r="L9" s="60" t="s">
        <v>115</v>
      </c>
      <c r="M9" s="61">
        <v>9</v>
      </c>
      <c r="N9" s="53" t="s">
        <v>168</v>
      </c>
      <c r="O9" s="53" t="s">
        <v>126</v>
      </c>
      <c r="P9" s="83" t="s">
        <v>78</v>
      </c>
    </row>
    <row r="10" spans="8:16" x14ac:dyDescent="0.3">
      <c r="H10" s="74">
        <v>6</v>
      </c>
      <c r="I10" s="118" t="s">
        <v>116</v>
      </c>
      <c r="J10" s="130">
        <v>4</v>
      </c>
      <c r="K10" s="118">
        <v>1933</v>
      </c>
      <c r="L10" s="120" t="s">
        <v>113</v>
      </c>
      <c r="M10" s="131">
        <v>4</v>
      </c>
      <c r="N10" s="118" t="s">
        <v>165</v>
      </c>
      <c r="O10" s="118" t="s">
        <v>135</v>
      </c>
      <c r="P10" s="82" t="s">
        <v>144</v>
      </c>
    </row>
    <row r="11" spans="8:16" x14ac:dyDescent="0.3">
      <c r="H11" s="74">
        <v>7</v>
      </c>
      <c r="I11" t="s">
        <v>109</v>
      </c>
      <c r="J11" s="67">
        <v>3.6</v>
      </c>
      <c r="K11">
        <v>1907</v>
      </c>
      <c r="L11" s="64" t="s">
        <v>113</v>
      </c>
      <c r="M11" s="65">
        <v>4</v>
      </c>
      <c r="N11" t="s">
        <v>164</v>
      </c>
      <c r="O11" t="s">
        <v>117</v>
      </c>
      <c r="P11" s="82" t="s">
        <v>140</v>
      </c>
    </row>
    <row r="12" spans="8:16" x14ac:dyDescent="0.3">
      <c r="H12" s="74">
        <v>8</v>
      </c>
      <c r="I12" s="123" t="s">
        <v>162</v>
      </c>
      <c r="J12" s="125">
        <v>7.5</v>
      </c>
      <c r="K12" s="119">
        <v>1857</v>
      </c>
      <c r="L12" s="121" t="s">
        <v>115</v>
      </c>
      <c r="M12" s="127">
        <v>5</v>
      </c>
      <c r="N12" s="118" t="s">
        <v>166</v>
      </c>
      <c r="O12" s="118" t="s">
        <v>118</v>
      </c>
      <c r="P12" s="82" t="s">
        <v>163</v>
      </c>
    </row>
    <row r="13" spans="8:16" x14ac:dyDescent="0.3">
      <c r="H13" s="74">
        <v>9</v>
      </c>
      <c r="I13" s="55" t="s">
        <v>108</v>
      </c>
      <c r="J13" s="78">
        <v>9</v>
      </c>
      <c r="K13" s="38">
        <v>1855</v>
      </c>
      <c r="L13" s="76" t="s">
        <v>115</v>
      </c>
      <c r="M13" s="41">
        <v>5</v>
      </c>
      <c r="N13" t="s">
        <v>138</v>
      </c>
      <c r="O13" t="s">
        <v>124</v>
      </c>
      <c r="P13" s="82" t="s">
        <v>143</v>
      </c>
    </row>
    <row r="14" spans="8:16" x14ac:dyDescent="0.3">
      <c r="H14" s="74">
        <v>10</v>
      </c>
      <c r="I14" s="56" t="s">
        <v>87</v>
      </c>
      <c r="J14" s="77">
        <v>4</v>
      </c>
      <c r="K14" s="54">
        <v>1984</v>
      </c>
      <c r="L14" s="79" t="s">
        <v>114</v>
      </c>
      <c r="M14" s="80">
        <v>7</v>
      </c>
      <c r="N14" t="s">
        <v>122</v>
      </c>
      <c r="O14" t="s">
        <v>147</v>
      </c>
      <c r="P14" s="82" t="s">
        <v>141</v>
      </c>
    </row>
    <row r="15" spans="8:16" x14ac:dyDescent="0.3">
      <c r="H15" s="74">
        <v>11</v>
      </c>
      <c r="I15" t="s">
        <v>111</v>
      </c>
      <c r="J15" s="67">
        <v>4.5</v>
      </c>
      <c r="K15" s="38">
        <v>1910</v>
      </c>
      <c r="L15" s="79" t="s">
        <v>114</v>
      </c>
      <c r="M15" s="44">
        <v>6</v>
      </c>
      <c r="N15" t="s">
        <v>146</v>
      </c>
      <c r="O15" t="s">
        <v>119</v>
      </c>
      <c r="P15" s="82" t="s">
        <v>145</v>
      </c>
    </row>
    <row r="16" spans="8:16" x14ac:dyDescent="0.3">
      <c r="H16" s="75">
        <v>12</v>
      </c>
      <c r="I16" s="53" t="s">
        <v>112</v>
      </c>
      <c r="J16" s="58">
        <v>13</v>
      </c>
      <c r="K16" s="53">
        <v>1910</v>
      </c>
      <c r="L16" s="68" t="s">
        <v>113</v>
      </c>
      <c r="M16" s="69">
        <v>10</v>
      </c>
      <c r="N16" s="53" t="s">
        <v>167</v>
      </c>
      <c r="O16" s="53" t="s">
        <v>125</v>
      </c>
      <c r="P16" s="83" t="s">
        <v>142</v>
      </c>
    </row>
    <row r="18" spans="9:10" x14ac:dyDescent="0.3">
      <c r="I18" t="s">
        <v>157</v>
      </c>
      <c r="J18">
        <f>SUM(7,5.8,7.5,9)</f>
        <v>29.3</v>
      </c>
    </row>
    <row r="19" spans="9:10" x14ac:dyDescent="0.3">
      <c r="I19" t="s">
        <v>158</v>
      </c>
      <c r="J19">
        <f>J24-J18</f>
        <v>57.8</v>
      </c>
    </row>
    <row r="21" spans="9:10" x14ac:dyDescent="0.3">
      <c r="I21" t="s">
        <v>159</v>
      </c>
      <c r="J21">
        <f>SUM(J5:J9)</f>
        <v>41.5</v>
      </c>
    </row>
    <row r="22" spans="9:10" x14ac:dyDescent="0.3">
      <c r="I22" t="s">
        <v>160</v>
      </c>
      <c r="J22">
        <f>SUM(J10:J16)</f>
        <v>45.6</v>
      </c>
    </row>
    <row r="24" spans="9:10" x14ac:dyDescent="0.3">
      <c r="I24" t="s">
        <v>156</v>
      </c>
      <c r="J24">
        <f>SUM(J5:J16)</f>
        <v>87.1</v>
      </c>
    </row>
    <row r="36" spans="1:12" x14ac:dyDescent="0.3">
      <c r="F36" s="38"/>
      <c r="G36" s="38"/>
    </row>
    <row r="37" spans="1:12" x14ac:dyDescent="0.3">
      <c r="L37">
        <v>-1</v>
      </c>
    </row>
    <row r="43" spans="1:12" x14ac:dyDescent="0.3">
      <c r="A43" s="56"/>
      <c r="B43" s="56"/>
      <c r="C43" s="57"/>
    </row>
  </sheetData>
  <sortState xmlns:xlrd2="http://schemas.microsoft.com/office/spreadsheetml/2017/richdata2" ref="H5:P16">
    <sortCondition ref="H5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Schedule</vt:lpstr>
      <vt:lpstr>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 J. Wang</dc:creator>
  <cp:lastModifiedBy>Emma Wang</cp:lastModifiedBy>
  <dcterms:created xsi:type="dcterms:W3CDTF">2022-03-22T17:38:47Z</dcterms:created>
  <dcterms:modified xsi:type="dcterms:W3CDTF">2024-05-30T06:51:22Z</dcterms:modified>
</cp:coreProperties>
</file>